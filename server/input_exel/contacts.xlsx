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8FFF6AB-9382-439B-9236-D5623BC3CB45}" xr6:coauthVersionLast="47" xr6:coauthVersionMax="47" xr10:uidLastSave="{00000000-0000-0000-0000-000000000000}"/>
  <workbookProtection workbookAlgorithmName="SHA-512" workbookHashValue="9oeCB8JPvD8h5exiXMHCZbjX/ylOKw8uj/cMZleZ6pLbVEmXA8xhT6BaIsQ4Q0G7jrChVBqbUpyz8t5Fo+07UQ==" workbookSaltValue="83J24bRoEJJuNlo+ZaUv5w==" workbookSpinCount="100000" lockStructure="1"/>
  <bookViews>
    <workbookView xWindow="-108" yWindow="-108" windowWidth="23256" windowHeight="12456" xr2:uid="{00000000-000D-0000-FFFF-FFFF00000000}"/>
  </bookViews>
  <sheets>
    <sheet name="Сводный отчет - 2026-05-20T1705" sheetId="1" r:id="rId1"/>
    <sheet name="справочник" sheetId="2" state="hidden" r:id="rId2"/>
    <sheet name="примеч" sheetId="3" state="hidden" r:id="rId3"/>
  </sheets>
  <definedNames>
    <definedName name="_xlnm._FilterDatabase" localSheetId="0" hidden="1">'Сводный отчет - 2026-05-20T1705'!$A$1:$O$1199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2" i="1"/>
</calcChain>
</file>

<file path=xl/sharedStrings.xml><?xml version="1.0" encoding="utf-8"?>
<sst xmlns="http://schemas.openxmlformats.org/spreadsheetml/2006/main" count="13710" uniqueCount="7309">
  <si>
    <t>Учредитель</t>
  </si>
  <si>
    <t>ID ИАС</t>
  </si>
  <si>
    <t>Наименование организации</t>
  </si>
  <si>
    <t>ОГРН</t>
  </si>
  <si>
    <t>Тип организации</t>
  </si>
  <si>
    <t>Федеральный округ</t>
  </si>
  <si>
    <t>Регион</t>
  </si>
  <si>
    <t>Город</t>
  </si>
  <si>
    <t>Адрес</t>
  </si>
  <si>
    <t>График работы прямого номера телефона,</t>
  </si>
  <si>
    <t>Прямой номер телефона приемной комиссии для переадресации звонков, полученных от поступающих на номер Единого контактного центра,</t>
  </si>
  <si>
    <t>Адрес электронной почты приемной комиссии для принятия тикетов от Единого контактного центра ,</t>
  </si>
  <si>
    <t>Негосударственная или частная организация</t>
  </si>
  <si>
    <t>Образовательные учреждение дополнительного профессионального образования</t>
  </si>
  <si>
    <t>Центральный ФО</t>
  </si>
  <si>
    <t>г.Москва</t>
  </si>
  <si>
    <t>Москва</t>
  </si>
  <si>
    <t>Федеральная служба по надзору в сфере защиты прав потребителей и благополучия человека (Роспотребнадзор)</t>
  </si>
  <si>
    <t>"Ростовский-на-Дону ордена Трудового Красного Знамени научно-исследовательский противочумный институт" Федеральной службы по надзору в сфере защиты прав потребителей и благополучия человека</t>
  </si>
  <si>
    <t>1026103278959</t>
  </si>
  <si>
    <t>Научные учреждения</t>
  </si>
  <si>
    <t>Южный ФО</t>
  </si>
  <si>
    <t>Ростовская область</t>
  </si>
  <si>
    <t>Ростов-на-Дону</t>
  </si>
  <si>
    <t>344002, Ростов-на-Дону, Максима Горького, 117</t>
  </si>
  <si>
    <t>Понедельник-пятница: 9:00-16:00, перерыв 12:00-13:00, суббота и воскресенье: выходной</t>
  </si>
  <si>
    <t>8(863)285-40-65, доб.1517</t>
  </si>
  <si>
    <t>plague@aaanet.ru</t>
  </si>
  <si>
    <t>Министерство обороны Российской Федерации (Минобороны России)</t>
  </si>
  <si>
    <t>Высшее образование</t>
  </si>
  <si>
    <t>Северо-Западный ФО</t>
  </si>
  <si>
    <t>г.Санкт-Петербург</t>
  </si>
  <si>
    <t>Санкт-Петербург</t>
  </si>
  <si>
    <t>Министерство Российской Федерации по делам гражданской обороны, чрезвычайным ситуациям и ликвидации последствий стихийных бедствий (МЧС России)</t>
  </si>
  <si>
    <t>Сибирская пожарно-спасательная академия Государственной противопожарной службы Министерства Российской Федерации по делам гражданской обороны, чрезвычайным ситуациям и ликвидации последствий стихийных бедствий</t>
  </si>
  <si>
    <t>1157847144542</t>
  </si>
  <si>
    <t>Сибирский ФО</t>
  </si>
  <si>
    <t>Красноярский край</t>
  </si>
  <si>
    <t>sib_umo@mail.ru</t>
  </si>
  <si>
    <t>г Железногорск (Красноярский край</t>
  </si>
  <si>
    <t>662972, г Железногорск (Красноярский край, Северная, 1</t>
  </si>
  <si>
    <t>понедельник- пятница: 8:30-16:30 суббота и воскресенье: выходной</t>
  </si>
  <si>
    <t>83919735425</t>
  </si>
  <si>
    <t>Московская область</t>
  </si>
  <si>
    <t>Балашиха</t>
  </si>
  <si>
    <t>"КОНТУР УНИВЕРСИТЕТ"</t>
  </si>
  <si>
    <t>1256600034349</t>
  </si>
  <si>
    <t>Уральский ФО</t>
  </si>
  <si>
    <t>Свердловская область</t>
  </si>
  <si>
    <t>Екатеринбург</t>
  </si>
  <si>
    <t>620014, Екатеринбург, Проспект Ленина, 20а</t>
  </si>
  <si>
    <t>понедельник-пятница: 09:00 - 17:00 суббота и воскресенье: выходной</t>
  </si>
  <si>
    <t>+7 (343) 211-32-29</t>
  </si>
  <si>
    <t>priem@konturuniversity.ru</t>
  </si>
  <si>
    <t>Субъект Российской Федерации</t>
  </si>
  <si>
    <t>Федеральное агентство по недропользованию (Роснедра)</t>
  </si>
  <si>
    <t>«ВСЕРОССИЙСКИЙ ГОСУДАРСТВЕННЫЙ ГЕОЛОГИЧЕСКИЙ НЕФТЯНОЙ ИНСТИТУТ»</t>
  </si>
  <si>
    <t>1167746108672</t>
  </si>
  <si>
    <t>aspirantura@vnigni.ru</t>
  </si>
  <si>
    <t>105118, г.Москва, Шоссе Энтузиастов, 36</t>
  </si>
  <si>
    <t>Понедельник, среда, четверг с 10.00 до 17.00, суббота и воскресенье: выходной</t>
  </si>
  <si>
    <t>+7 (499) 781-68-63 доб. 3402</t>
  </si>
  <si>
    <t>Курчатовский институт</t>
  </si>
  <si>
    <t>«Институт физики высоких энергий имени А.А. Логунова Национального исследовательского центра «Курчатовский институт»</t>
  </si>
  <si>
    <t>1125043001357</t>
  </si>
  <si>
    <t>Протвино</t>
  </si>
  <si>
    <t>142281, Протвино, площадь Науки, 1</t>
  </si>
  <si>
    <t>Понедельник-пятница: 9.00-16.30. Суббота и воскресенье: выходные дни.</t>
  </si>
  <si>
    <t>8 (916) 730-92-98</t>
  </si>
  <si>
    <t>aspirantura_ihep@ihep.ru</t>
  </si>
  <si>
    <t>«Научно-исследовательский «Центр развития энергетического права и современной правовой науки имени В.А. Мусина"</t>
  </si>
  <si>
    <t>1207700260360</t>
  </si>
  <si>
    <t>musinlc@musinlc.ru</t>
  </si>
  <si>
    <t>123112, Москва, Пресненская набережная, 12</t>
  </si>
  <si>
    <t>понедельник-пятница: 9:00-19:00, суббота и воскресенье: выходной</t>
  </si>
  <si>
    <t>+7 (495) 150-75-69</t>
  </si>
  <si>
    <t>Федеральное агенство по техническому регулированию и метрологии (РОССТАНДАРТ)</t>
  </si>
  <si>
    <t>«Научно-исследовательский центр прикладной метрологии - Ростест»</t>
  </si>
  <si>
    <t>1027700066415</t>
  </si>
  <si>
    <t>8 495 437 40 61</t>
  </si>
  <si>
    <t>ElenaVR@rostest.ru</t>
  </si>
  <si>
    <t>117418, Москва, Нахимовский проспект, 31</t>
  </si>
  <si>
    <t>понедельник - четверг: 9:00-17:00, пятница: 9:00-16:00, суббота и воскресенье: выходной</t>
  </si>
  <si>
    <t>Правительство Российской Федерации</t>
  </si>
  <si>
    <t>«Научно-производственное предприятие «Исток» имени А.И. Шокина»</t>
  </si>
  <si>
    <t>1135050007400</t>
  </si>
  <si>
    <t>Акционерное общество</t>
  </si>
  <si>
    <t>Фрязино</t>
  </si>
  <si>
    <t>141190, Фрязино, Вокзальная, 2а</t>
  </si>
  <si>
    <t>Понедельник-пятница: 9:00-16:00 суббота и воскресенье: выходной</t>
  </si>
  <si>
    <t>8(495)465-86-80 (доб. 20-45)</t>
  </si>
  <si>
    <t>aspirantura@istokmw.ru</t>
  </si>
  <si>
    <t>-</t>
  </si>
  <si>
    <t>«Петербургский институт ядерной физики им. Б.П. Константинова Национального исследовательского центра «Курчатовский институт»</t>
  </si>
  <si>
    <t>1034701242443</t>
  </si>
  <si>
    <t>Ленинградская область</t>
  </si>
  <si>
    <t>Гатчина</t>
  </si>
  <si>
    <t>188300, Гатчина, мкр Орлова роща, 1</t>
  </si>
  <si>
    <t>НИЦ "Курчатовский институт" - ПИЯФ: понедельник-пятница, 9:00-12:00, 14:00-17:00; суббота, воскресенье: выходной; филиал НИЦ "Курчатовский институт" - ПИЯФ - ИВС: понедельник-пятница, 10:00-15:00; суббота, воскресенье: выходной; филиал НИЦ "Курчатовский институт" - ПИЯФ - ИХС: понедельник-пятница, 10:00-15:00; суббота, воскресенье: выходной.</t>
  </si>
  <si>
    <t>НИЦ "Курчатовский институт" - ПИЯФ: 8(81371)46125; филиал НИЦ "Курчатовский институт" - ПИЯФ - ИВС: 8(812)3233345; филиал НИЦ "Курчатовский институт" - ПИЯФ - ИХС: 8(812)3288594.</t>
  </si>
  <si>
    <t>НИЦ "Курчатовский институт" - ПИЯФ: aspirantura@pnpi.nrcki.ru; филиал НИЦ "Курчатовский институт" - ПИЯФ - ИВС: krasnopeeva_el@pnpi.nrcki.ru; филиал НИЦ "Курчатовский институт" - ПИЯФ - ИХС: sinelshchikova_oy@pnpi.nrcki.ru.</t>
  </si>
  <si>
    <t>Федеральное агентство водных ресурсов (Росводресурсы)</t>
  </si>
  <si>
    <t>«Российский научно-исследовательский институт комплексного использования и охраны водных ресурсов»</t>
  </si>
  <si>
    <t>1156658087739</t>
  </si>
  <si>
    <t>Государственные учреждения</t>
  </si>
  <si>
    <t>aspirant-rwec@mail.ru</t>
  </si>
  <si>
    <t>344037, Ростов-на-Дону, Ченцова, здание 10а</t>
  </si>
  <si>
    <t>понедельник-пятница: 10:00-16:00 суббота и воскресенье: выходной</t>
  </si>
  <si>
    <t>+7 (863) 285-30-24</t>
  </si>
  <si>
    <t>Северо-Кавказский ФО</t>
  </si>
  <si>
    <t>Ставропольский край</t>
  </si>
  <si>
    <t>Ставрополь</t>
  </si>
  <si>
    <t>«Тихоокеанский институт предпринимательства, туризма и права»</t>
  </si>
  <si>
    <t>1224100003115</t>
  </si>
  <si>
    <t>Дальневосточный ФО</t>
  </si>
  <si>
    <t>Камчатский край</t>
  </si>
  <si>
    <t>info@tiptp.ru</t>
  </si>
  <si>
    <t>Петропавловск-Камчатский</t>
  </si>
  <si>
    <t>683003, Петропавловск-Камчатский, Ключевская, 11</t>
  </si>
  <si>
    <t>понедельник-пятница: 9:00-18:00, суббота 9:00-15:00, воскресенье: выходной</t>
  </si>
  <si>
    <t>84152-42-80-01</t>
  </si>
  <si>
    <t>Приморский край</t>
  </si>
  <si>
    <t>Владивосток</t>
  </si>
  <si>
    <t>«Уральский медицинский институт»</t>
  </si>
  <si>
    <t>1207400041870</t>
  </si>
  <si>
    <t>Челябинская область</t>
  </si>
  <si>
    <t>Челябинск</t>
  </si>
  <si>
    <t>454092, Челябинск, Курчатова, 9</t>
  </si>
  <si>
    <t>понедельник-пятница 8:00-17:00, суббота и воскресенье: выходной</t>
  </si>
  <si>
    <t>+79011479700</t>
  </si>
  <si>
    <t>info@umedvuz.ru</t>
  </si>
  <si>
    <t>Министерство здравоохранения Российской Федерации (Минздрав России)</t>
  </si>
  <si>
    <t>«ЦЕНТРАЛЬНЫЙ НАУЧНО-ИССЛЕДОВАТЕЛЬСКИЙ ИНСТИТУТ ОРГАНИЗАЦИИ И ИНФОРМАТИЗАЦИИ ЗДРАВООХРАНЕНИЯ» МИНИСТЕРСТВА ЗДРАВООХРАНЕНИЯ РОССИЙСКОЙ ФЕДЕРАЦИИ</t>
  </si>
  <si>
    <t>1027739277235</t>
  </si>
  <si>
    <t>mironova@mednet.ru</t>
  </si>
  <si>
    <t>127254, Москва, Добролюбова, 11</t>
  </si>
  <si>
    <t>Понедельник-Четверг: 10:00-17:00 Пятница: 10:00-16:00 Суббота и Воскресенье: выходной</t>
  </si>
  <si>
    <t>8(495)618-31-83 доб.227</t>
  </si>
  <si>
    <t>Министерство промышленности и торговли Российской Федерации (Минпромторг России)</t>
  </si>
  <si>
    <t>«Центральный научно-исследовательский институт черной металлургии им. И.П. Бардина»</t>
  </si>
  <si>
    <t>1037739060920</t>
  </si>
  <si>
    <t>Унитарные предприятия</t>
  </si>
  <si>
    <t>105005, Москва, Радио, 23/9</t>
  </si>
  <si>
    <t>Понедельник-Четверг: 9.00-18.00 пятница, суббота и воскресенье: выходной</t>
  </si>
  <si>
    <t>+7 495 777-93-01</t>
  </si>
  <si>
    <t>a.milova@chermet.net</t>
  </si>
  <si>
    <t>Министерство науки и высшего образования Российской Федерации (Минобрнауки России)</t>
  </si>
  <si>
    <t>Аграрный научный центр «Донской»</t>
  </si>
  <si>
    <t>1026100956650</t>
  </si>
  <si>
    <t>Зерноград</t>
  </si>
  <si>
    <t>347740, Зерноград, Научный городок, 3</t>
  </si>
  <si>
    <t>понедельник-пятница: 9:00-16:30 суббота и воскресенье: выходной</t>
  </si>
  <si>
    <t>+7 (86359) 4-14-68</t>
  </si>
  <si>
    <t>vniizk.ru</t>
  </si>
  <si>
    <t>Агрофизический научно-исследовательский институт</t>
  </si>
  <si>
    <t>1027802514365</t>
  </si>
  <si>
    <t>195220, Санкт-Петербург, Гражданский проспект, 14</t>
  </si>
  <si>
    <t>понедельник - пятница: 10.00-13.00, 14.00-17.30, суббота и воскресенье: выходной</t>
  </si>
  <si>
    <t>(812) 534-13-24</t>
  </si>
  <si>
    <t>office@agrophys.ru</t>
  </si>
  <si>
    <t>Адыгейский государственный университет</t>
  </si>
  <si>
    <t>1020100698750</t>
  </si>
  <si>
    <t>Республика Адыгея</t>
  </si>
  <si>
    <t>Майкоп</t>
  </si>
  <si>
    <t>385000, Майкоп, Первомайская, 208</t>
  </si>
  <si>
    <t>Понедельник-пятница: 9:00-17:30 суббота: 9:00-12:00 воскресенье: выходной</t>
  </si>
  <si>
    <t>+7(8772)521375</t>
  </si>
  <si>
    <t>pkomagu@adygnet.ru</t>
  </si>
  <si>
    <t>Министерство просвещения Российской Федерации (Минпросвещения России)</t>
  </si>
  <si>
    <t>Азовский государственный педагогический университет им. П.Д.Осипенко</t>
  </si>
  <si>
    <t>1239000004572</t>
  </si>
  <si>
    <t>Запорожская область</t>
  </si>
  <si>
    <t>Бердянск</t>
  </si>
  <si>
    <t>271118, Бердянск, Шмидта, 4</t>
  </si>
  <si>
    <t>Понедельник - пятница: 8:30 - 16:30, суббота: 8:30 - 12:30, воскресенье: выходной</t>
  </si>
  <si>
    <t>+7990 057 45 95</t>
  </si>
  <si>
    <t>komissiya.priymnaya@mail.ru</t>
  </si>
  <si>
    <t>Министерство культуры Российской Федерации (Минкультуры России)</t>
  </si>
  <si>
    <t>Академия акварели и изящных искусств Сергея Андрияки</t>
  </si>
  <si>
    <t>1027710026156</t>
  </si>
  <si>
    <t>117133, Москва, г. Москва, ул. Академика Варги, 15</t>
  </si>
  <si>
    <t>понедельник-четверг: 9:00-17:30 пятница: 9:00-16:45 суббота и воскресенье: выходной</t>
  </si>
  <si>
    <t>8 (495) 531-55-55</t>
  </si>
  <si>
    <t>Andriakaacademy@yandex.ru</t>
  </si>
  <si>
    <t>Академия государственной противопожарной службы министерства Российской Федерации по делам гражданской обороны, чрезвычайным ситуациям и ликвидации последствий стихийных бедствий</t>
  </si>
  <si>
    <t>1027739451684</t>
  </si>
  <si>
    <t>s.novoselov@academygps.ru</t>
  </si>
  <si>
    <t>129366, Москва, Бориса Галушкина, 4</t>
  </si>
  <si>
    <t>понедельник-четверг: 10:00-17:00 пятница: 10:00-15:00 суббота и воскресенье: выходной</t>
  </si>
  <si>
    <t>8 (495) 617-27-27 доб.23-34</t>
  </si>
  <si>
    <t>Академия гражданской защиты Министерства Российской Федерации по делам гражданской обороны, чрезвычайным ситуациям и ликвидации последствий стихийных бедствий имени генерал-лейтенанта Д.И.Михайлика</t>
  </si>
  <si>
    <t>1035009564215</t>
  </si>
  <si>
    <t>микрорайон Новогорск</t>
  </si>
  <si>
    <t>141435, микрорайон Новогорск, Соколовская, Академия</t>
  </si>
  <si>
    <t>Понедельник-пятница: 9.00-18.00 Суббота: 9.00-13.00 Воскресенье: выходной</t>
  </si>
  <si>
    <t>+7 (498) 699-04-07</t>
  </si>
  <si>
    <t>agz_priemcom@agz.50.mchs.gov.ru</t>
  </si>
  <si>
    <t>Академия маркетинга и социально-информационных технологий – ИМСИТ (г. Краснодар)</t>
  </si>
  <si>
    <t>1022301812500</t>
  </si>
  <si>
    <t>Краснодарский край</t>
  </si>
  <si>
    <t>Краснодар</t>
  </si>
  <si>
    <t>350010, Краснодар, ул. Зиповская, 5</t>
  </si>
  <si>
    <t>понедельник-пятница: 8:00-17:00; суббота: 9:00-15:00; воскресенье: выходной</t>
  </si>
  <si>
    <t>+7(861)278-22-70</t>
  </si>
  <si>
    <t>pk@imsit.ru</t>
  </si>
  <si>
    <t>Федеральная служба исполнения наказаний (ФСИН России)</t>
  </si>
  <si>
    <t>Академия права и управления Федеральной службы исполнения наказаний</t>
  </si>
  <si>
    <t>1026201266882</t>
  </si>
  <si>
    <t>Рязанская область</t>
  </si>
  <si>
    <t>+7(4912) 28-95-91</t>
  </si>
  <si>
    <t>Рязань</t>
  </si>
  <si>
    <t>390000, Рязань, Сенная, 1</t>
  </si>
  <si>
    <t>понедельник-четверг: 8:15-17:15 пятница: 8:15-17:00 суббота и воскресенье: выходной</t>
  </si>
  <si>
    <t>pkinstitut@apu.fsin.gov.ru</t>
  </si>
  <si>
    <t>Академия Русского балета имени А.Я. Вагановой</t>
  </si>
  <si>
    <t>1027809234067</t>
  </si>
  <si>
    <t>priem@vaganovaacademy.ru</t>
  </si>
  <si>
    <t>191023, г.Санкт-Петербург, Зодчего Росси, 2</t>
  </si>
  <si>
    <t>понедельник-пятница: 11:00-17:00, перерыв 14:00-15:00; суббота-воскресенье: выходной</t>
  </si>
  <si>
    <t>+7 (812) 456-07-65 (доб. 224)</t>
  </si>
  <si>
    <t>Академия социального образования</t>
  </si>
  <si>
    <t>1181690004407</t>
  </si>
  <si>
    <t>Приволжский ФО</t>
  </si>
  <si>
    <t>Республика Татарстан</t>
  </si>
  <si>
    <t>Казань</t>
  </si>
  <si>
    <t>420012, Казань, Достоевского, 10</t>
  </si>
  <si>
    <t>понедельник - четверг: 9:00-17:00 пятница: 9:00-17:00 суббота: 9:00-17:00 воскресенье: выходной</t>
  </si>
  <si>
    <t>+7 (843) 236-21-39, +7 (843) 236-24-18</t>
  </si>
  <si>
    <t>aso-ksui@mail.ru; priem.aso-ksui@bk.ru</t>
  </si>
  <si>
    <t>АКАДЕМИЯ СТАНДАРТИЗАЦИИ, МЕТРОЛОГИИ И СЕРТИФИКАЦИИ (УЧЕБНАЯ)</t>
  </si>
  <si>
    <t>1037700173060</t>
  </si>
  <si>
    <t>109443, Москва, пр-кт Волгоградский, 90</t>
  </si>
  <si>
    <t>понедельник-четверг: 9:00-17:00 пятница: 9:00-16:00 суббота и воскресенье: выходной</t>
  </si>
  <si>
    <t>+7 (499) 172-47-30</t>
  </si>
  <si>
    <t>info@asms.ru</t>
  </si>
  <si>
    <t>Академия труда и социальных отношений</t>
  </si>
  <si>
    <t>1037739274693</t>
  </si>
  <si>
    <t>119454, Москва, Лобачевского, 90</t>
  </si>
  <si>
    <t>понедельник-четверг: 8:30-17:15 пятница: 8:30-16:00 суббота: 9:00-15.00 воскресенье: выходной</t>
  </si>
  <si>
    <t>+7(495) 437-21-06, +7(925) 425-21-06</t>
  </si>
  <si>
    <t>priem@atiso.ru</t>
  </si>
  <si>
    <t>Академия туризма и международных отношений</t>
  </si>
  <si>
    <t>1046602664283</t>
  </si>
  <si>
    <t>620034, Екатеринбург, МАРАТА, 17</t>
  </si>
  <si>
    <t>Понедельник-пятница: 9.00-16.00, суббота и воскресенье выходной</t>
  </si>
  <si>
    <t>+7(343)287-94-34</t>
  </si>
  <si>
    <t>uralinsttur@yandex.ru</t>
  </si>
  <si>
    <t>Академия управления и производства</t>
  </si>
  <si>
    <t>1027700499672</t>
  </si>
  <si>
    <t>123007, Москва, 4-Магистральная, 5</t>
  </si>
  <si>
    <t>с 20.06.2026 года: понедельник - пятница: 9:00-18:00 суббота: 9:00-16:00 воскресенье: выходной</t>
  </si>
  <si>
    <t>+74951271050</t>
  </si>
  <si>
    <t>pk@amp1996.ru</t>
  </si>
  <si>
    <t>г.Севастополь</t>
  </si>
  <si>
    <t>Севастополь</t>
  </si>
  <si>
    <t>Академия хорового искусства имени В.С. Попова</t>
  </si>
  <si>
    <t>1027739655690</t>
  </si>
  <si>
    <t>125565, Москва, Фестивальная, 2</t>
  </si>
  <si>
    <t>Понедельник-пятница: 11:00-16:00</t>
  </si>
  <si>
    <t>+7 (925) 894-77-89 +7 (905) 091-29-83</t>
  </si>
  <si>
    <t>priem@axu.ru</t>
  </si>
  <si>
    <t>Министерство сельского хозяйства Российской Федерации (Минсельхоз России)</t>
  </si>
  <si>
    <t>Алтайский государственный аграрный университет</t>
  </si>
  <si>
    <t>1022200900479</t>
  </si>
  <si>
    <t>Алтайский край</t>
  </si>
  <si>
    <t>primcom@asau.ru</t>
  </si>
  <si>
    <t>Барнаул</t>
  </si>
  <si>
    <t>656049, Барнаул, Пр-т Красноармейский, 98</t>
  </si>
  <si>
    <t>понедельник-четверг: 8:00-17:00 пятница: 8:00-16:00 суббота и воскресенье: выходной</t>
  </si>
  <si>
    <t>+7(3852)628352</t>
  </si>
  <si>
    <t>Алтайский государственный институт культуры</t>
  </si>
  <si>
    <t>1022201379980</t>
  </si>
  <si>
    <t>priem@agaki.ru</t>
  </si>
  <si>
    <t>656055, Барнаул, Юрина, 277</t>
  </si>
  <si>
    <t>Понедельник-пятница: 9:00 - 16:00, суббота, воскресенье: выходной</t>
  </si>
  <si>
    <t>8(385-2) 54-73-59</t>
  </si>
  <si>
    <t>Алтайский государственный медицинский университет Министерства здравоохранения Российской Федерации</t>
  </si>
  <si>
    <t>1022201762164</t>
  </si>
  <si>
    <t>priem@asmu.ru</t>
  </si>
  <si>
    <t>656038, Барнаул, Ленина, 40</t>
  </si>
  <si>
    <t>понедельник - четверг: 9:00-17-00 пятница: 9:00-16:00 суббота: 9:00-12:00 воскресенье: выходной</t>
  </si>
  <si>
    <t>8(3852)757-900</t>
  </si>
  <si>
    <t>Алтайский государственный педагогический университет</t>
  </si>
  <si>
    <t>1022200907288</t>
  </si>
  <si>
    <t>656031, Барнаул, Молодежная, 55</t>
  </si>
  <si>
    <t>понедельник - пятница с 8:30 до 17:00, перерыв с 13:00 до 13:30</t>
  </si>
  <si>
    <t>+7 (3852) 62-95-39</t>
  </si>
  <si>
    <t>abit@altspu.ru</t>
  </si>
  <si>
    <t>Алтайский государственный технический университет им. И.И. Ползунова</t>
  </si>
  <si>
    <t>1022201517854</t>
  </si>
  <si>
    <t>656038, Барнаул, проспект Ленина, 46</t>
  </si>
  <si>
    <t>+7 (3852) 29-07-29</t>
  </si>
  <si>
    <t>pk@altgtu.ru</t>
  </si>
  <si>
    <t>Алтайский государственный университет</t>
  </si>
  <si>
    <t>1022201770106</t>
  </si>
  <si>
    <t>656049, Барнаул, проспект Ленина, 61</t>
  </si>
  <si>
    <t>Понедельник-пятница: 8:00-17:00 Суббота: 10:00-14:00 Воскресенье: выходной</t>
  </si>
  <si>
    <t>8-3852-291-222</t>
  </si>
  <si>
    <t>prcom@asu.ru</t>
  </si>
  <si>
    <t>Альметьевский государственный технологический университет «Высшая школа нефти»</t>
  </si>
  <si>
    <t>1021601629642</t>
  </si>
  <si>
    <t>Альметьевск</t>
  </si>
  <si>
    <t>423462, Альметьевск, Советская, 186</t>
  </si>
  <si>
    <t>понедельник-пятница: 9.00-18.00 суббота: 9.00-13.00 воскресенье: выходной</t>
  </si>
  <si>
    <t>8(8553)31-09-20, 8917-280-02-38</t>
  </si>
  <si>
    <t>abiturient@agni-rt.ru</t>
  </si>
  <si>
    <t>Амурская государственная медицинская академия Министерства здравоохранения Российской Федерации</t>
  </si>
  <si>
    <t>1022800534910</t>
  </si>
  <si>
    <t>Амурская область</t>
  </si>
  <si>
    <t>Благовещенск</t>
  </si>
  <si>
    <t>675006, Благовещенск, Горького, 95</t>
  </si>
  <si>
    <t>До 19 июня: понедельник - вторник с 08.00 до 13.00, среда-пятница с 14.00 до 17.00, суббота и воскресенье: выходной С 20 июня: понедельник-пятница с 08.00 до 17.00, перерыв на обед с 12.00 до 13.00</t>
  </si>
  <si>
    <t>(84162)319016</t>
  </si>
  <si>
    <t>abitur@amursma.su</t>
  </si>
  <si>
    <t>Амурский государственный университет</t>
  </si>
  <si>
    <t>1022800526154</t>
  </si>
  <si>
    <t>675027, Благовещенск, Игнатьевское шоссе, 21</t>
  </si>
  <si>
    <t>Понедельник-пятница: 8:00-17:00 суббота и воскресенье: выходной</t>
  </si>
  <si>
    <t>8 (4162) 234-560, 8 (4162) 234-567</t>
  </si>
  <si>
    <t>priem@amursu.ru</t>
  </si>
  <si>
    <t>Амурский гуманитарно-педагогический государственный университет</t>
  </si>
  <si>
    <t>1022700514737</t>
  </si>
  <si>
    <t>Хабаровский край</t>
  </si>
  <si>
    <t>abiturient@amgpgu.ru</t>
  </si>
  <si>
    <t>Комсомольск-на-Амуре</t>
  </si>
  <si>
    <t>681000, Комсомольск-на-Амуре, Кирова, 17</t>
  </si>
  <si>
    <t>понедельник - пятница: 9:00 - 17:00 суббота и воскресенье - выходной</t>
  </si>
  <si>
    <t>7(4217)59-14-48</t>
  </si>
  <si>
    <t>Ангарский государственный технический университет</t>
  </si>
  <si>
    <t>1033800520852</t>
  </si>
  <si>
    <t>Иркутская область</t>
  </si>
  <si>
    <t>priem@angtu.ru</t>
  </si>
  <si>
    <t>Ангарск</t>
  </si>
  <si>
    <t>665835, Ангарск, ул. Чайковского, 60</t>
  </si>
  <si>
    <t>понедельник-пятница: 9:00-17:00 суббота: 9:00-13:00 воскресенье: выходной</t>
  </si>
  <si>
    <t>+7 (3955) 67-34-17</t>
  </si>
  <si>
    <t>Арктический государственный агротехнологический университет</t>
  </si>
  <si>
    <t>1021401044367</t>
  </si>
  <si>
    <t>Республика Саха (Якутия)</t>
  </si>
  <si>
    <t>Якутск</t>
  </si>
  <si>
    <t>677007, Якутск, г. Якутск, Сергеляхское шоссе 3 км, 3</t>
  </si>
  <si>
    <t>понедельник-пятница: 09:00-18:00, суббота и воскресенье: 09:00-17:00</t>
  </si>
  <si>
    <t>+7 (968) 154-49-82, +7 (4112) 507-976</t>
  </si>
  <si>
    <t>abiturient@agatu.ru</t>
  </si>
  <si>
    <t>Арктический государственный институт культуры и искусств</t>
  </si>
  <si>
    <t>1021401049647</t>
  </si>
  <si>
    <t>677027, Якутск, Орджоникидзе, 4</t>
  </si>
  <si>
    <t>09:00 – 18:00</t>
  </si>
  <si>
    <t>(4112)42-11-67</t>
  </si>
  <si>
    <t>priem@agiki.ru</t>
  </si>
  <si>
    <t>Федеральная служба по гидрометеорологии и мониторингу окружающей среды (Росгидромет)</t>
  </si>
  <si>
    <t>Арктический и антарктический научно-исследовательский институт</t>
  </si>
  <si>
    <t>1027800556266</t>
  </si>
  <si>
    <t>199397, Санкт-Петербург, ул. Беринга, 38</t>
  </si>
  <si>
    <t>Понедельник - пятница: 14:00 - 18:00 Суббота и воскресенье: выходной</t>
  </si>
  <si>
    <t>+78126018394</t>
  </si>
  <si>
    <t>opk@aari.ru</t>
  </si>
  <si>
    <t>Армавирский государственный педагогический университет</t>
  </si>
  <si>
    <t>1022300641142</t>
  </si>
  <si>
    <t>Армавир</t>
  </si>
  <si>
    <t>352901, Армавир, Р. Люксембург, 159</t>
  </si>
  <si>
    <t>понедельник-пятница: 8.00-18.00 суббота: 8.00-14.00</t>
  </si>
  <si>
    <t>8 (86137) 4-01-71</t>
  </si>
  <si>
    <t>agpu25pk@mail.ru</t>
  </si>
  <si>
    <t>Армавирский гуманитарно-социальный институт</t>
  </si>
  <si>
    <t>1022300638458</t>
  </si>
  <si>
    <t>apsi@bk.ru</t>
  </si>
  <si>
    <t>352905, Армавир, Урицкого, 117</t>
  </si>
  <si>
    <t>88613774338</t>
  </si>
  <si>
    <t>Армавирский лингвистический социальный институт</t>
  </si>
  <si>
    <t>1022300639107</t>
  </si>
  <si>
    <t>352901, Армавир, Кирова, 22-24</t>
  </si>
  <si>
    <t>Понедельник с 9:00 до 16:00; пятница с 9:00 до 15:00</t>
  </si>
  <si>
    <t>Специальные телефонные линии для ответов на обращения, связанные с приёмом на обучение: 8(86137)3-34-30; 8(86137)3-34-51; 8(991)-356-79-11; 8(991)-356-84-12</t>
  </si>
  <si>
    <t>info@alsivuz.ru</t>
  </si>
  <si>
    <t>г. Москва</t>
  </si>
  <si>
    <t>Астраханская государственная консерватория</t>
  </si>
  <si>
    <t>1023000838640</t>
  </si>
  <si>
    <t>Астраханская область</t>
  </si>
  <si>
    <t>Астрахань</t>
  </si>
  <si>
    <t>414000, Астрахань, Советская, 23</t>
  </si>
  <si>
    <t>понедельник-четверг: 9:00-17:30 пятница: 9:00-16:30 суббота и воскресенье: выходной</t>
  </si>
  <si>
    <t>89064591567</t>
  </si>
  <si>
    <t>abiturientagk@mail.ru</t>
  </si>
  <si>
    <t>Астраханский государственный архитектурно-строительный университет</t>
  </si>
  <si>
    <t>1023000833954</t>
  </si>
  <si>
    <t>414000, Астрахань, Татищева, 18</t>
  </si>
  <si>
    <t>Понедельник - пятница: 8:30-17:00, Суббота: 8:30-13:00, Воскресенье: выходной</t>
  </si>
  <si>
    <t>88512494219, 88512499867</t>
  </si>
  <si>
    <t>prkom@agasu.ru</t>
  </si>
  <si>
    <t>Астраханский государственный медицинский университет Министерства здравоохранения Российской Федерации</t>
  </si>
  <si>
    <t>1023000857285</t>
  </si>
  <si>
    <t>pk_doc@astgmu.ru</t>
  </si>
  <si>
    <t>414000, Астрахань, Бакинская, 121</t>
  </si>
  <si>
    <t>понедельник-пятница: 9:00-17:30 суббота и воскресенье: выходной</t>
  </si>
  <si>
    <t>8-8512-66-94-75</t>
  </si>
  <si>
    <t>Федеральное агентство по рыболовству (Росрыболовство)</t>
  </si>
  <si>
    <t>Астраханский государственный технический университет</t>
  </si>
  <si>
    <t>1023000861916</t>
  </si>
  <si>
    <t>414056, Астрахань, Татищива, -</t>
  </si>
  <si>
    <t>Понедельник-пятница: 9:00-17:00 суббота: 9:00-13:00 воскресенье:выходной</t>
  </si>
  <si>
    <t>8(8512)614-145</t>
  </si>
  <si>
    <t>cdo@astu.ru</t>
  </si>
  <si>
    <t>Астраханский государственный университет имени В.Н. Татищева</t>
  </si>
  <si>
    <t>1023000818554</t>
  </si>
  <si>
    <t>414056, Астрахань, Татищева, 20 а</t>
  </si>
  <si>
    <t>понедельник - пятница: 9:00-17:00 суббота: 9:00-12:00 воскресенье: выходной</t>
  </si>
  <si>
    <t>8 (8512)24-64-09</t>
  </si>
  <si>
    <t>priem@asu-edu.ru</t>
  </si>
  <si>
    <t>Байкальский государственный университет</t>
  </si>
  <si>
    <t>1023801008648</t>
  </si>
  <si>
    <t>Иркутск</t>
  </si>
  <si>
    <t>664003, Иркутск, Ленина, 11</t>
  </si>
  <si>
    <t>Пн-пт с 8:00-17:00</t>
  </si>
  <si>
    <t>8 (3952) 500-005</t>
  </si>
  <si>
    <t>priem@bgu.ru</t>
  </si>
  <si>
    <t>Байкальский институт природопользования Сибирского отделения Российской академии наук</t>
  </si>
  <si>
    <t>1020300904007</t>
  </si>
  <si>
    <t>Республика Бурятия</t>
  </si>
  <si>
    <t>aspirantura20@binm.ru</t>
  </si>
  <si>
    <t>Улан-Удэ, Республика Бурятия</t>
  </si>
  <si>
    <t>670047, Улан-Удэ, Республика Бурятия, Сахьяновой, 8</t>
  </si>
  <si>
    <t>понедельник-пятница: с 10.00-17.00, суббота и воскресенье:выходной</t>
  </si>
  <si>
    <t>+79834559104</t>
  </si>
  <si>
    <t>Байкальский музей Сибирского отделения Российской академии наук</t>
  </si>
  <si>
    <t>1023802456116</t>
  </si>
  <si>
    <t>рабочий поселок Листвянка, Иркутский район, Иркутская область</t>
  </si>
  <si>
    <t>664520, рабочий поселок Листвянка, Иркутский район, Иркутская область, улица Академическая, 1</t>
  </si>
  <si>
    <t>понедельник-четверг 9:00-17:00, пятница: 9:00-13:30, суббота и воскресенье: выходной</t>
  </si>
  <si>
    <t>8(3952) 45-31-45</t>
  </si>
  <si>
    <t>bm@isc.irk.ru</t>
  </si>
  <si>
    <t>Байкальский экономико-правовой институт</t>
  </si>
  <si>
    <t>1020300989499</t>
  </si>
  <si>
    <t>Улан-Удэ</t>
  </si>
  <si>
    <t>670047, Улан-Удэ, Сахьяновой, 9</t>
  </si>
  <si>
    <t>понедельник-пятница: 9:00-15:00 суббота и воскресенье: выходной</t>
  </si>
  <si>
    <t>+73012433455</t>
  </si>
  <si>
    <t>bepi-edu@yandex.ru</t>
  </si>
  <si>
    <t>Балтийская академия туризма и предпринимательства</t>
  </si>
  <si>
    <t>1037828021351</t>
  </si>
  <si>
    <t>197110, г.Санкт-Петербург, Петрозаводская, 13</t>
  </si>
  <si>
    <t>понедельник-четверг: 11:00-17:00 пятница: 11:00-16:00 суббота и воскресенье: выходной</t>
  </si>
  <si>
    <t>+79319994109</t>
  </si>
  <si>
    <t>priem@batp.ru</t>
  </si>
  <si>
    <t>Балтийский государственный технический университет «ВОЕНМЕХ» им. Д.Ф. Устинова</t>
  </si>
  <si>
    <t>1027810328721</t>
  </si>
  <si>
    <t>190005, Санкт-Петербург, ул. 1-я Красноармейская, д. 1</t>
  </si>
  <si>
    <t>Понедельник-пятница 10:00-17:00, суббота-воскресенье 10:00-14:00.</t>
  </si>
  <si>
    <t>8(800)301-16-04</t>
  </si>
  <si>
    <t>admission@voenmeh.ru</t>
  </si>
  <si>
    <t>Балтийский Гуманитарный Институт</t>
  </si>
  <si>
    <t>1047808002967</t>
  </si>
  <si>
    <t>198188, Санкт-Петербург, проспект Стачек, 72</t>
  </si>
  <si>
    <t>понедельник-пятница с 10.00 до 19.00 суббота-воскресенье - выходной</t>
  </si>
  <si>
    <t>+7 962 685 64 44</t>
  </si>
  <si>
    <t>priem.bgi@mail.ru</t>
  </si>
  <si>
    <t>Балтийский федеральный университет имени Иммануила Канта</t>
  </si>
  <si>
    <t>1023901002949</t>
  </si>
  <si>
    <t>Калининградская область</t>
  </si>
  <si>
    <t>Калининград</t>
  </si>
  <si>
    <t>236016, Калининград, А. Невского, 14</t>
  </si>
  <si>
    <t>Понедельник-четверг: 09:00-18:00 Пятница: 09:00-16:45 Суббота, воскресенье: выходной</t>
  </si>
  <si>
    <t>+7(4012)595-596</t>
  </si>
  <si>
    <t>abiturient@kantiana.ru</t>
  </si>
  <si>
    <t>Барнаульская духовная семинария Барнаульской Епархии Русской Православной Церкви</t>
  </si>
  <si>
    <t>1062202034180</t>
  </si>
  <si>
    <t>656008, Барнаул, пер. Ядринцева, 66</t>
  </si>
  <si>
    <t>понедельник-пятница: 9:00-17:00 суббота и воскресенье: выходной</t>
  </si>
  <si>
    <t>+7 (385-2) 63-63-29</t>
  </si>
  <si>
    <t>cans.bds@mail.ru</t>
  </si>
  <si>
    <t>Башкирская академия государственной службы и управления при Главе Республики Башкортостан</t>
  </si>
  <si>
    <t>1020202553051</t>
  </si>
  <si>
    <t>Республика Башкортостан</t>
  </si>
  <si>
    <t>Уфа</t>
  </si>
  <si>
    <t>450008, Уфа, Заки Валиди, 40</t>
  </si>
  <si>
    <t>понедельник-пятница: 9:00-18:00 суббота: 9:00-15:00 (период летней приемной кампании) воскресенье: выходной</t>
  </si>
  <si>
    <t>+7 (347) 273-72-92; +7 (917) 431-32-93</t>
  </si>
  <si>
    <t>pk@bagsurb.ru</t>
  </si>
  <si>
    <t>Башкирский государственный аграрный университет</t>
  </si>
  <si>
    <t>1030204602669</t>
  </si>
  <si>
    <t>450001, Уфа, ул.50-летия Октября, 34</t>
  </si>
  <si>
    <t>Понедельник-пятница: 9:00-17:00 суббота и воскресенье: выходной</t>
  </si>
  <si>
    <t>+7(347)216-46-42</t>
  </si>
  <si>
    <t>prkombgau@mail.ru</t>
  </si>
  <si>
    <t>Башкирский государственный медицинский университет</t>
  </si>
  <si>
    <t>1020202561136</t>
  </si>
  <si>
    <t>priemka@bashgmu.ru</t>
  </si>
  <si>
    <t>450008, Уфа, Ленина, 3</t>
  </si>
  <si>
    <t>+7 347 222-86-68</t>
  </si>
  <si>
    <t>Башкирский государственный педагогический университет им. М. Акмуллы</t>
  </si>
  <si>
    <t>1020202554778</t>
  </si>
  <si>
    <t>450077, Уфа, Октябрьской революции, 3-а</t>
  </si>
  <si>
    <t>Понедельник-воскресенье: 9:00-18:00</t>
  </si>
  <si>
    <t>+73472879999</t>
  </si>
  <si>
    <t>pk@bspu.ru</t>
  </si>
  <si>
    <t>Белгородский государственный аграрный университет имени В.Я. Горина</t>
  </si>
  <si>
    <t>1023100508078</t>
  </si>
  <si>
    <t>Белгородская область</t>
  </si>
  <si>
    <t>п. Майский</t>
  </si>
  <si>
    <t>308503, п. Майский, Вавилова, 1</t>
  </si>
  <si>
    <t>Понедельник-пятница: 08:00-18:00 суббота 08:00-16:00 воскресенье: выходной</t>
  </si>
  <si>
    <t>+7(4722)39-22-07</t>
  </si>
  <si>
    <t>Rak_IV@belgau.ru</t>
  </si>
  <si>
    <t>Белгородский государственный институт искусств и культуры</t>
  </si>
  <si>
    <t>1023101655610</t>
  </si>
  <si>
    <t>cstv@bgiik.ru</t>
  </si>
  <si>
    <t>Белгород</t>
  </si>
  <si>
    <t>308033, Белгород, Королёва, 7</t>
  </si>
  <si>
    <t>Понедельник — пятница: 09:00-18:00, перерыв: 13:00-14:00; суббота: 09:00-14:00; воскресенье: выходной</t>
  </si>
  <si>
    <t>8-919-436-02-20</t>
  </si>
  <si>
    <t>Белгородский государственный национальный исследовательский университет</t>
  </si>
  <si>
    <t>1023101664519</t>
  </si>
  <si>
    <t>308015, Белгород, Победы, 85</t>
  </si>
  <si>
    <t>Понедельник-пятница: 9:00-18:00, суббота: 9:00-13:00, воскресенье: выходной</t>
  </si>
  <si>
    <t>8 (472) 224-55-76</t>
  </si>
  <si>
    <t>abitur@bsuedu.ru</t>
  </si>
  <si>
    <t>Белгородский государственный технологический университет им. В.Г.Шухова</t>
  </si>
  <si>
    <t>1023101659481</t>
  </si>
  <si>
    <t>308012, Белгород, Костюкова, 46</t>
  </si>
  <si>
    <t>+79102277031</t>
  </si>
  <si>
    <t>8(4722)309936</t>
  </si>
  <si>
    <t>pr_bgtu@mail.ru</t>
  </si>
  <si>
    <t>Белгородский университет кооперации, экономики и права</t>
  </si>
  <si>
    <t>1113100000463</t>
  </si>
  <si>
    <t>admis@bukep.ru</t>
  </si>
  <si>
    <t>308023, Белгород, Садовая, 116а</t>
  </si>
  <si>
    <t>пн.- пт. с 8:15 до 17:15; сб. с 9:00 до 13:00</t>
  </si>
  <si>
    <t>+7 (4722) 26-37-39</t>
  </si>
  <si>
    <t>Белорусско-Российский университет</t>
  </si>
  <si>
    <t>0000700008843</t>
  </si>
  <si>
    <t>Территории, находящиеся за пределами РФ</t>
  </si>
  <si>
    <t>Территории, находящиеся за пределами РФ и обслуживаемые Управлением режимных объектов МВД России</t>
  </si>
  <si>
    <t>Могилев</t>
  </si>
  <si>
    <t>212000, Могилев, пр. Мира, 43</t>
  </si>
  <si>
    <t>понедельник-четверг: 8:15-17:15 пятница: 8:15-16:15 суббота и воскресенье: выходной (В нерабочее время звонок будет автоматически переадресован на мобильный телефон после 20 секунд ожидания)</t>
  </si>
  <si>
    <t>810375222240888</t>
  </si>
  <si>
    <t>abit@exec.bru.by</t>
  </si>
  <si>
    <t>Благовещенский государственный педагогический университет</t>
  </si>
  <si>
    <t>1022800517552</t>
  </si>
  <si>
    <t>priemka@bgpu.ru</t>
  </si>
  <si>
    <t>675000, Благовещенск, Ленина, 104</t>
  </si>
  <si>
    <t>Понедельник-пятница: 8.00-17.00 Суббота и воскресенье: выходной</t>
  </si>
  <si>
    <t>8(4162) 99-16-44, 89145923919</t>
  </si>
  <si>
    <t>Болгарская исламская академия</t>
  </si>
  <si>
    <t>1167700054829</t>
  </si>
  <si>
    <t>priem@bolgar.academy</t>
  </si>
  <si>
    <t>Болгар</t>
  </si>
  <si>
    <t>422840, Болгар, Кул Гали, 1</t>
  </si>
  <si>
    <t>Понедельник-четверг: 9:00-16:30 пятница: 9:00-16:00. Суббота и воскресенье: выходной</t>
  </si>
  <si>
    <t>7 (843) 590-24-29</t>
  </si>
  <si>
    <t>Ботанический институт им. В.Л. Комарова Российской академии наук</t>
  </si>
  <si>
    <t>1037828001199</t>
  </si>
  <si>
    <t>197376, Санкт-Петербург, Профессора Попова, 2</t>
  </si>
  <si>
    <t>понедельник-пятница:11.00-13.00 и 14.00-16.00 суббота и воскресенье: выходной</t>
  </si>
  <si>
    <t>+7(812)372-54-42</t>
  </si>
  <si>
    <t>aspirantura@binran.ru</t>
  </si>
  <si>
    <t>Ботанический сад Уральского отделения Российской академии наук</t>
  </si>
  <si>
    <t>1036603142916</t>
  </si>
  <si>
    <t>oleg.sushentsov@yandex.ru</t>
  </si>
  <si>
    <t>620144, Екатеринбург, 8 Марта, 202а</t>
  </si>
  <si>
    <t>понедельник-четверг: 10.00-16.00 пятница: 10.00-15.00 суббота и воскресение: выходной</t>
  </si>
  <si>
    <t>+7-919-382-18-40</t>
  </si>
  <si>
    <t>Ботанический сад-институт Дальневосточного отделения Российской академии наук</t>
  </si>
  <si>
    <t>1022502122532</t>
  </si>
  <si>
    <t>8(423)238-80-41</t>
  </si>
  <si>
    <t>mail@botsad.ru</t>
  </si>
  <si>
    <t>ВЛАДИВОСТОК</t>
  </si>
  <si>
    <t>690024, ВЛАДИВОСТОК, МАКОВСКОГО, д 142</t>
  </si>
  <si>
    <t>Понедельник-пятница: 9.00-16.30, суббота и воскресенье: выходной</t>
  </si>
  <si>
    <t>Братский государственный университет</t>
  </si>
  <si>
    <t>1023800919834</t>
  </si>
  <si>
    <t>Братск</t>
  </si>
  <si>
    <t>665709, Братск, ул. Макаренко, 40</t>
  </si>
  <si>
    <t>понедельник-пятница: 8:00-16:12, суббота и воскресенье: выходной</t>
  </si>
  <si>
    <t>8(3953) 344-044</t>
  </si>
  <si>
    <t>priem@brstu.ru</t>
  </si>
  <si>
    <t>Брянский государственный аграрный университет</t>
  </si>
  <si>
    <t>1023201936240</t>
  </si>
  <si>
    <t>Брянская область</t>
  </si>
  <si>
    <t>Кокино</t>
  </si>
  <si>
    <t>243365, Кокино, Советская, 2а</t>
  </si>
  <si>
    <t>понедельник-четверг: 08:30-17:00 пятница: 08:300-15:30 суббота и воскресенье: выходной</t>
  </si>
  <si>
    <t>84834124631</t>
  </si>
  <si>
    <t>primkom@bgsha.com</t>
  </si>
  <si>
    <t>Брянский государственный инженерно-технологический университет</t>
  </si>
  <si>
    <t>1023202735511</t>
  </si>
  <si>
    <t>priem@bgitu.ru</t>
  </si>
  <si>
    <t>Брянск</t>
  </si>
  <si>
    <t>241037, Брянск, проспект Станке Димитрова, 3</t>
  </si>
  <si>
    <t>Режим работы приемной комиссии: Понедельник-пятница: с 9.00 до 17.00; суббота: с 9.00 до 13.00, воскресенье - выходной</t>
  </si>
  <si>
    <t>+7 (4832) 64-99-12</t>
  </si>
  <si>
    <t>Брянский государственный технический университет</t>
  </si>
  <si>
    <t>1023201058627</t>
  </si>
  <si>
    <t>241035, Брянск, бульвар 50 лет Октября, 7</t>
  </si>
  <si>
    <t>понедельник-четверг: 10:00 - 18:00; пятница: 10:00-16:00; суббота и воскресенье: выходной</t>
  </si>
  <si>
    <t>+79206048804</t>
  </si>
  <si>
    <t>pk@tu-bryansk.ru</t>
  </si>
  <si>
    <t>Брянский государственный университет имени академика И.Г. Петровского</t>
  </si>
  <si>
    <t>1023202736952</t>
  </si>
  <si>
    <t>priembgu@mail.ru</t>
  </si>
  <si>
    <t>241036, Брянск, Бежицкая, 14</t>
  </si>
  <si>
    <t>понедельник-пятница - 9.00 до 17.00, перерыв на обед - 13.00-14.00; суббота - 9.00-13.00 (без перерыва), воскресенье - выходной день</t>
  </si>
  <si>
    <t>+7(4832) 58-90-85</t>
  </si>
  <si>
    <t>Брянский институт управления и бизнеса</t>
  </si>
  <si>
    <t>1023202745686</t>
  </si>
  <si>
    <t>welcome@biub.ru</t>
  </si>
  <si>
    <t>241050, Брянск, 2-я Почепская, 42</t>
  </si>
  <si>
    <t>Понедельник -четверг: 9:00 - 18-00 пятница: 9:00-17:00 суббота и воскресенье: выходной</t>
  </si>
  <si>
    <t>(4832) 41-26-78</t>
  </si>
  <si>
    <t>Бурятская государственная сельскохозяйственная академия имени В.Р.Филиппова</t>
  </si>
  <si>
    <t>1020300980215</t>
  </si>
  <si>
    <t>bgsha03@yandex.ru</t>
  </si>
  <si>
    <t>670024, Улан-Удэ, Пушкина, 8</t>
  </si>
  <si>
    <t>понедельник-пятница: 9:00-17:30 суббота: 10:00-14:00 воскресенье: выходной</t>
  </si>
  <si>
    <t>83012442506, 83012442266</t>
  </si>
  <si>
    <t>Бурятский государственный университет имени Доржи Банзарова</t>
  </si>
  <si>
    <t>1020300970106</t>
  </si>
  <si>
    <t>udp@bsu.ru</t>
  </si>
  <si>
    <t>670000, Улан-Удэ, Смолина, 24</t>
  </si>
  <si>
    <t>понедельник-пятница: 9:00-18:00, суббота 10:00-15:00, воскресенье выходной</t>
  </si>
  <si>
    <t>8(3012)227722</t>
  </si>
  <si>
    <t>Министерство спорта Российской Федерации (Минспорт России)</t>
  </si>
  <si>
    <t>Великолукская государственная академия физической культуры и спорта</t>
  </si>
  <si>
    <t>1026000901849</t>
  </si>
  <si>
    <t>Псковская область</t>
  </si>
  <si>
    <t>Великие Луки</t>
  </si>
  <si>
    <t>182105, Великие Луки, площадь Юбилейная, 4</t>
  </si>
  <si>
    <t>Понедельник-пятница: 9:00-17:00 суббота и воскресенье: выходной телефон 88115373869</t>
  </si>
  <si>
    <t>88115373869</t>
  </si>
  <si>
    <t>fuluna@vlgafc.ru</t>
  </si>
  <si>
    <t>Верхневолжский государственный агробиотехнологический университет</t>
  </si>
  <si>
    <t>1033700052858</t>
  </si>
  <si>
    <t>Ивановская область</t>
  </si>
  <si>
    <t>pk@ivgsha.ru</t>
  </si>
  <si>
    <t>Иваново</t>
  </si>
  <si>
    <t>153012, Иваново, Советская, 45</t>
  </si>
  <si>
    <t>+7 (4932) 32-94-23</t>
  </si>
  <si>
    <t>Владимирская область</t>
  </si>
  <si>
    <t>Владивостокский государственный университет</t>
  </si>
  <si>
    <t>1022501308004</t>
  </si>
  <si>
    <t>690014, Владивосток, ул.Гоголя, 41</t>
  </si>
  <si>
    <t>Понедельник-пятница: 9:00 - 17:00, Суббота: 9:00 - 14:00</t>
  </si>
  <si>
    <t>8(423)240-40-40</t>
  </si>
  <si>
    <t>pos@vvsu.ru</t>
  </si>
  <si>
    <t>Владикавказский институт управления</t>
  </si>
  <si>
    <t>1021500578571</t>
  </si>
  <si>
    <t>Республика Северная Осетия - Алания</t>
  </si>
  <si>
    <t>Владикавказ</t>
  </si>
  <si>
    <t>362025, Владикавказ, Бородинская, 14</t>
  </si>
  <si>
    <t>89188241501</t>
  </si>
  <si>
    <t>viu-online@mail.ru</t>
  </si>
  <si>
    <t>Владикавказский научный центр Российской академии наук</t>
  </si>
  <si>
    <t>1021500511878</t>
  </si>
  <si>
    <t>aspirantura.vncran@yandex.ru</t>
  </si>
  <si>
    <t>Михайловское</t>
  </si>
  <si>
    <t>363110, Михайловское, Вильямса, 1</t>
  </si>
  <si>
    <t>понедельник-четверг: 9:00-17:00 пятница: 9:00-17.00 суббота и воскресенье: выходной</t>
  </si>
  <si>
    <t>88672- 72-67-88 (1006)</t>
  </si>
  <si>
    <t>Владимирский государственный университет имени Александра Григорьевича и Николая Григорьевича Столетовых</t>
  </si>
  <si>
    <t>1023301283290</t>
  </si>
  <si>
    <t>Владимир</t>
  </si>
  <si>
    <t>600000, Владимир, Горького, 87</t>
  </si>
  <si>
    <t>понедельник-суббота: 9:00-18:00, воскресенье - выходной</t>
  </si>
  <si>
    <t>8 (4922) 47-77-74</t>
  </si>
  <si>
    <t>prkom@vlsu.ru</t>
  </si>
  <si>
    <t>Тверская область</t>
  </si>
  <si>
    <t>Тверь</t>
  </si>
  <si>
    <t>Смоленская область</t>
  </si>
  <si>
    <t>Смоленск</t>
  </si>
  <si>
    <t>Костромская область</t>
  </si>
  <si>
    <t>Кострома</t>
  </si>
  <si>
    <t>Волгоградская государственная академия физической культуры</t>
  </si>
  <si>
    <t>1023403457417</t>
  </si>
  <si>
    <t>Волгоградская область</t>
  </si>
  <si>
    <t>Волгоград</t>
  </si>
  <si>
    <t>400005, Волгоград, проспект им. В.И. Ленина, 78</t>
  </si>
  <si>
    <t>Понедельник-пятница: 9:00 - 17:00, 13:00 - 14:00 перерыв, суббота и воскресенье: выходной</t>
  </si>
  <si>
    <t>(8442) 23-31-30</t>
  </si>
  <si>
    <t>pk@vgafk.ru</t>
  </si>
  <si>
    <t>Волгоградская государственная консерватория им. П.А. Серебрякова</t>
  </si>
  <si>
    <t>1033400318808</t>
  </si>
  <si>
    <t>400066, Волгоград, Мира, 5</t>
  </si>
  <si>
    <t>+7 (988) 028-92-92</t>
  </si>
  <si>
    <t>vgkis_pk@volganet.ru</t>
  </si>
  <si>
    <t>Волгоградский государственный аграрный университет</t>
  </si>
  <si>
    <t>1023404239583</t>
  </si>
  <si>
    <t>400002, Волгоград, пр. Университетский, 26</t>
  </si>
  <si>
    <t>понедельник-пятница: 9:00-16:00 суббота: 9:00-12:00</t>
  </si>
  <si>
    <t>8(844)241-17-78</t>
  </si>
  <si>
    <t>priem@volgau.ru</t>
  </si>
  <si>
    <t>Волгоградский государственный институт искусств и культуры</t>
  </si>
  <si>
    <t>1023403850271</t>
  </si>
  <si>
    <t>400001, Волгоград, им. Циолковского, 4</t>
  </si>
  <si>
    <t>Понедельник-пятница: с 9:00 до 16:00 Обед: с 12:00 до 13:00 Суббота и воскресенье: выходной</t>
  </si>
  <si>
    <t>+7 939 78 40 534 +7 991 08 20 441 8(8442) 97 15 40 (доб.207)</t>
  </si>
  <si>
    <t>vgiik-pk@mail.ru</t>
  </si>
  <si>
    <t>Волгоградский государственный медицинский университет</t>
  </si>
  <si>
    <t>1023403441380</t>
  </si>
  <si>
    <t>400066, Волгоград, площадь Павших Борцов, 1</t>
  </si>
  <si>
    <t>+7 (8442) 53-23-33</t>
  </si>
  <si>
    <t>priem@volgmed.ru</t>
  </si>
  <si>
    <t>Волгоградский государственный социально-педагогический университет</t>
  </si>
  <si>
    <t>1023403449684</t>
  </si>
  <si>
    <t>400005, Волгоград, проспект им.В.И.Ленина, 27</t>
  </si>
  <si>
    <t>+7 (961) 090-26-38</t>
  </si>
  <si>
    <t>prcom@vspu.ru</t>
  </si>
  <si>
    <t>Волгоградский государственный технический университет</t>
  </si>
  <si>
    <t>1023403440818</t>
  </si>
  <si>
    <t>400005, Волгоград, проспект им. В.И.Ленина, 28</t>
  </si>
  <si>
    <t>понедельник-четверг: 8:30-17:00 пятница: 8:30-16:00 суббота: 9:00-13:00 (с 20.06.2026 г. по 29.08.2026 г.) воскресенье: выходной</t>
  </si>
  <si>
    <t>88442232292</t>
  </si>
  <si>
    <t>prk@vstu.ru</t>
  </si>
  <si>
    <t>Волгоградский государственный университет</t>
  </si>
  <si>
    <t>1023404237669</t>
  </si>
  <si>
    <t>400062, Волгоград, проспект Университетский, 100</t>
  </si>
  <si>
    <t>понедельник-пятница: 9:00-17:00 суббота: 9:00-15:00 воскресенье: выходной</t>
  </si>
  <si>
    <t>8(8442)40-55-47</t>
  </si>
  <si>
    <t>priem@volsu.ru</t>
  </si>
  <si>
    <t>Волгоградский институт бизнеса</t>
  </si>
  <si>
    <t>1193443006536</t>
  </si>
  <si>
    <t>400010, Волгоград, Качинцев, 63</t>
  </si>
  <si>
    <t>Понедельник-пятница: 9.00-17.00, суббота и воскресенье: выходной</t>
  </si>
  <si>
    <t>8 (800) 600-26-05</t>
  </si>
  <si>
    <t>pk@volbi.ru</t>
  </si>
  <si>
    <t>Федеральное агентство морского и речного транспорта (Росморречфлот)</t>
  </si>
  <si>
    <t>Волжский государственный университет водного транспорта</t>
  </si>
  <si>
    <t>1025203032645</t>
  </si>
  <si>
    <t>Нижегородская область</t>
  </si>
  <si>
    <t>Нижний Новгород</t>
  </si>
  <si>
    <t>603950, Нижний Новгород, Нестерова, 5</t>
  </si>
  <si>
    <t>Понедельник-пятница: 09.00-17.00 Суббота: 09.00-13.00 Воскресенье: выходной</t>
  </si>
  <si>
    <t>8-800-444-10-52</t>
  </si>
  <si>
    <t>abitur@vsuwt.ru</t>
  </si>
  <si>
    <t>Волжский институт экономики, педагогики и права</t>
  </si>
  <si>
    <t>1023402021500</t>
  </si>
  <si>
    <t>viecpp@volganet.ru</t>
  </si>
  <si>
    <t>Волжский</t>
  </si>
  <si>
    <t>404111, Волжский, Советская, 6</t>
  </si>
  <si>
    <t>понедельник-пятница: 9:00-17:00; суббота (с 20.06.2026: 9:00-13:00); воскресенье: выходной</t>
  </si>
  <si>
    <t>+7(8443)34-26-38</t>
  </si>
  <si>
    <t>Самарская область</t>
  </si>
  <si>
    <t>Тольятти</t>
  </si>
  <si>
    <t>Вологодская государственная молочнохозяйственная академия имени Н.В. Верещагина</t>
  </si>
  <si>
    <t>1023500885253</t>
  </si>
  <si>
    <t>Вологодская область</t>
  </si>
  <si>
    <t>prcom@molochnoe.ru</t>
  </si>
  <si>
    <t>Молочное</t>
  </si>
  <si>
    <t>160555, Молочное, Шмидта, 2</t>
  </si>
  <si>
    <t>понедельник-пятница: 8.00-17.00 суббота: 8.00-12.00 воскресенье: выходной</t>
  </si>
  <si>
    <t>+7 8172 52 55 00 (доб.251)</t>
  </si>
  <si>
    <t>Вологда</t>
  </si>
  <si>
    <t>Вологодский государственный университет</t>
  </si>
  <si>
    <t>1023500876453</t>
  </si>
  <si>
    <t>160000, Вологда, Ленина, 15</t>
  </si>
  <si>
    <t>понедельник-пятница: 9:00-18:00 суббота: 10:00-14:00 воскресенье: выходной</t>
  </si>
  <si>
    <t>+78172725073</t>
  </si>
  <si>
    <t>uprist@vogu35.ru</t>
  </si>
  <si>
    <t>Вологодский научный центр Российской академии наук</t>
  </si>
  <si>
    <t>1023500875683</t>
  </si>
  <si>
    <t>vologdanoc@mail.ru</t>
  </si>
  <si>
    <t>160014, Вологда, Горького, 56 А</t>
  </si>
  <si>
    <t>понедельник-четверг: 8:00-17:00 пятница: 8:00-15:45 обеденный перерыв:12.00-12.45 суббота и воскресенье: выходной</t>
  </si>
  <si>
    <t>+7(8172) 59-78-38</t>
  </si>
  <si>
    <t>Воронежская государственная академия спорта</t>
  </si>
  <si>
    <t>1065027031365</t>
  </si>
  <si>
    <t>Воронежская область</t>
  </si>
  <si>
    <t>Воронеж</t>
  </si>
  <si>
    <t>394036, Воронеж, Карла Маркса, 59</t>
  </si>
  <si>
    <t>понедельник- пятница: с 9.00 до 16.00, суббота с 10.00 до 15.00, воскресенье выходной</t>
  </si>
  <si>
    <t>+7 (473) 252-10-60</t>
  </si>
  <si>
    <t>priem@vgas-vrn.ru</t>
  </si>
  <si>
    <t>Воронежская духовная семинария Воронежской Епархии Русской Православной Церкви</t>
  </si>
  <si>
    <t>1033692006380</t>
  </si>
  <si>
    <t>Иные организации</t>
  </si>
  <si>
    <t>kants.vds@yandex.ru</t>
  </si>
  <si>
    <t>г. Воронеж</t>
  </si>
  <si>
    <t>394033, г. Воронеж, Ленинский проспект, 91</t>
  </si>
  <si>
    <t>Понедельник-четверг: 9:00-17:00 пятница: 9:00-17:00 суббота и воскресенье: выходной</t>
  </si>
  <si>
    <t>+79610280804</t>
  </si>
  <si>
    <t>Воронежский государственный аграрный университет имени императора Петра I</t>
  </si>
  <si>
    <t>1033600074090</t>
  </si>
  <si>
    <t>pre@emd.vsau.ru</t>
  </si>
  <si>
    <t>ВОРОНЕЖ</t>
  </si>
  <si>
    <t>394087, ВОРОНЕЖ, МИЧУРИНА, 1</t>
  </si>
  <si>
    <t>Понедельник-пятница: 8:00-17:00, суббота: 9:00-14:00, воскресенье: выходной</t>
  </si>
  <si>
    <t>+7(473)253-78-67</t>
  </si>
  <si>
    <t>Воронежский государственный институт искусств</t>
  </si>
  <si>
    <t>1033600009134</t>
  </si>
  <si>
    <t>394077, Воронеж, Генерала Лизюкова, 42</t>
  </si>
  <si>
    <t>понедельник-четверг: 9:00-17:00 пятница: 9:00-16:30 перерыв 13.00-14.00 суббота и воскресенье: выходной</t>
  </si>
  <si>
    <t>8(473)2668409</t>
  </si>
  <si>
    <t>pvgii@bk.ru</t>
  </si>
  <si>
    <t>Воронежский государственный лесотехнический университет имени Г.Ф. Морозова</t>
  </si>
  <si>
    <t>1033600041584</t>
  </si>
  <si>
    <t>394087, Воронеж, Тимирязева, 8</t>
  </si>
  <si>
    <t>понедельник - пятница: 08:30-17:30 суббота: 08:30-14:00 воскресенье выходной</t>
  </si>
  <si>
    <t>+7 930 419-61-13</t>
  </si>
  <si>
    <t>prcom@vgltu.ru</t>
  </si>
  <si>
    <t>Воронежский государственный медицинский университет имени Н.Н. Бурденко Министерства здравоохранения Российской Федерации</t>
  </si>
  <si>
    <t>1033600044070</t>
  </si>
  <si>
    <t>priem@vrngmu.ru</t>
  </si>
  <si>
    <t>394036, Воронеж, Студенческая, 10</t>
  </si>
  <si>
    <t>понедельник-пятница: 10:00-16:00, суббота и воскресенье: выходной</t>
  </si>
  <si>
    <t>+7(473)210-61-59</t>
  </si>
  <si>
    <t>Воронежский государственный педагогический университет</t>
  </si>
  <si>
    <t>1033600041683</t>
  </si>
  <si>
    <t>pk@vspu.ac.ru</t>
  </si>
  <si>
    <t>394043, Воронеж, Ленина, 86</t>
  </si>
  <si>
    <t>+7 (473) 253-30-00</t>
  </si>
  <si>
    <t>Воронежский государственный технический университет</t>
  </si>
  <si>
    <t>1033600070448</t>
  </si>
  <si>
    <t>priem@cchgeu.ru</t>
  </si>
  <si>
    <t>394026, Воронеж, 20-летия Октября, 84</t>
  </si>
  <si>
    <t>понедельник-пятница: 9:00-17:00, суббота: 10:00-13:00, воскресенье: выходной</t>
  </si>
  <si>
    <t>+7(473)207-22-02</t>
  </si>
  <si>
    <t>Воронежский государственный университет</t>
  </si>
  <si>
    <t>1023601560510</t>
  </si>
  <si>
    <t>394018, Воронеж, Площадь Университетская, 1</t>
  </si>
  <si>
    <t>"понедельник-пятница: 9:00-16:00 суббота и воскресенье: выходной"</t>
  </si>
  <si>
    <t>89802419220</t>
  </si>
  <si>
    <t>makushin@yandex.ru</t>
  </si>
  <si>
    <t>Воронежский государственный университет инженерных технологий</t>
  </si>
  <si>
    <t>1023601552358</t>
  </si>
  <si>
    <t>priem@vsuet.ru</t>
  </si>
  <si>
    <t>394036, Воронеж, проспект Революции, 19</t>
  </si>
  <si>
    <t>понедельник-пятница: 9:00-18:00, суббота: 10:00-14:00, воскресенье: выходной</t>
  </si>
  <si>
    <t>8(800)2010024</t>
  </si>
  <si>
    <t>Воронежский институт высоких технологий</t>
  </si>
  <si>
    <t>1033600006439</t>
  </si>
  <si>
    <t>394043, Воронеж, ул. Ленина, 73А</t>
  </si>
  <si>
    <t>+7(473)250-99-01</t>
  </si>
  <si>
    <t>epk@vivt.ru</t>
  </si>
  <si>
    <t>Воронежский институт экономики и социального управления</t>
  </si>
  <si>
    <t>1033600030771</t>
  </si>
  <si>
    <t>394036, Воронеж, Помяловского, 27</t>
  </si>
  <si>
    <t>понедельник-пятница: 9:00-18:00 суббота:9:00-13:00 воскресенье: выходной</t>
  </si>
  <si>
    <t>+7(473) 255-34-70</t>
  </si>
  <si>
    <t>viesupk@yandex.ru</t>
  </si>
  <si>
    <t>Воронежский федеральный аграрный научный центр им. В.В. Докучаева</t>
  </si>
  <si>
    <t>1023601355227</t>
  </si>
  <si>
    <t>niimarket-2011@mail.ru</t>
  </si>
  <si>
    <t>2-го участка Института им. Докучаева</t>
  </si>
  <si>
    <t>397463, 2-го участка Института им. Докучаева, квартал 5, 81</t>
  </si>
  <si>
    <t>Понедельник-четверг: 8.30-16.30 пятница: 8.00-12.00 суббота и воскресенье: выходной</t>
  </si>
  <si>
    <t>8(47352)4-59-56</t>
  </si>
  <si>
    <t>Воронежский экономико-правовой институт</t>
  </si>
  <si>
    <t>1063600017337</t>
  </si>
  <si>
    <t>394033, Воронеж, Ленинский проспект, 119 А</t>
  </si>
  <si>
    <t>понедельник-четверг: 8:00-16:30 пятница: 8:00-15:30 суббота и воскресенье: выходной</t>
  </si>
  <si>
    <t>8-800-700-74-89</t>
  </si>
  <si>
    <t>pkvepi@yandex.ru</t>
  </si>
  <si>
    <t>Восточная экономико-юридическая гуманитарная академия</t>
  </si>
  <si>
    <t>1020202555064</t>
  </si>
  <si>
    <t>450092, Уфа, Мубарякова, 3</t>
  </si>
  <si>
    <t>Понедельник-пятница: 9:30-17:30 суббота и воскресенье: выходной</t>
  </si>
  <si>
    <t>+7 (937) 350-08-55</t>
  </si>
  <si>
    <t>cpk.kco@vegu.ru</t>
  </si>
  <si>
    <t>Восточно-Европейский институт психоанализа</t>
  </si>
  <si>
    <t>1207800114125</t>
  </si>
  <si>
    <t>8 (800) 333-37-76</t>
  </si>
  <si>
    <t>197198, Санкт-Петербург, Большой пр. ПС, 18А</t>
  </si>
  <si>
    <t>Понедельник-пятница: 10.00-17.00 суббота, воскресенье: выходной</t>
  </si>
  <si>
    <t>abiturient@eeip.ru</t>
  </si>
  <si>
    <t>Восточно-Сибирский государственный институт культуры</t>
  </si>
  <si>
    <t>1020300908902</t>
  </si>
  <si>
    <t>232414@vsgaki.ru</t>
  </si>
  <si>
    <t>670031, Улан-Удэ, Терешковой, 1</t>
  </si>
  <si>
    <t>понедельник-пятница: 9:00-17:00, суббота: 9:00-13:00, воскресенье: выходной</t>
  </si>
  <si>
    <t>+79644091382</t>
  </si>
  <si>
    <t>Восточно-Сибирский государственный университет технологий и управления</t>
  </si>
  <si>
    <t>1020300905162</t>
  </si>
  <si>
    <t>8 (3012) 41-01-95</t>
  </si>
  <si>
    <t>pkesstu@mail.ru</t>
  </si>
  <si>
    <t>670013, Улан-Удэ, Ключевская, 40В</t>
  </si>
  <si>
    <t>Понедельник-пятница: 09:00-17:00 Суббота: 09:00-13:00 Воскресенье: выходной</t>
  </si>
  <si>
    <t>Восточно-Сибирский институт медико-экологических исследований</t>
  </si>
  <si>
    <t>1023801016535</t>
  </si>
  <si>
    <t>665826, Ангарск, 12а микрорайон, 3</t>
  </si>
  <si>
    <t>понедельник-четверг: 9:00-17:00 пятница: 9:00-16:30 суббота и воскресенье: выходной</t>
  </si>
  <si>
    <t>8-924-622-86-70</t>
  </si>
  <si>
    <t>sum@vsimei.ru</t>
  </si>
  <si>
    <t>Восточно-Сибирский институт экономики и права</t>
  </si>
  <si>
    <t>1023801031451</t>
  </si>
  <si>
    <t>664050, Иркутск, Байкальская, 258 «А»</t>
  </si>
  <si>
    <t>понедельник-пятница: 09:00-16:00 суббота и воскресенье: выходной обед: 13:00-13:30</t>
  </si>
  <si>
    <t>+7(3952)35-73-60</t>
  </si>
  <si>
    <t>shkola@vsiep.ru</t>
  </si>
  <si>
    <t>Министерство юстиции Российской Федерации (Минюст России)</t>
  </si>
  <si>
    <t>Всеросcийский государственный университет юстиции (РПА Минюста России)</t>
  </si>
  <si>
    <t>1027700162676</t>
  </si>
  <si>
    <t>117638, Москва, Азовская, 2</t>
  </si>
  <si>
    <t>Понедельник-пятница - 10:00-19:00, суббота - 10:00-14.00, воскресенье - выходной</t>
  </si>
  <si>
    <t>+7(499)963-01-01</t>
  </si>
  <si>
    <t>abiturient-rpa@mail.ru</t>
  </si>
  <si>
    <t>Министерство экономического развития Российской Федерации (Минэкономразвития России)</t>
  </si>
  <si>
    <t>Всероссийская академия внешней торговли Министерства экономического развития Российской Федерации</t>
  </si>
  <si>
    <t>1027739793212</t>
  </si>
  <si>
    <t>119285, Москва, Воробьевское шоссе, 6</t>
  </si>
  <si>
    <t>499 147-54-54</t>
  </si>
  <si>
    <t>abiturient@vavt.ru</t>
  </si>
  <si>
    <t>Всероссийский государственный университет кинематографии имени С.А. Герасимова</t>
  </si>
  <si>
    <t>1037739313700</t>
  </si>
  <si>
    <t>129226, Москва, Вильгельма Пика, 3</t>
  </si>
  <si>
    <t>понедельник-пятница: с 10:00 до 17:00, суббота воскресенье: выходной</t>
  </si>
  <si>
    <t>+74991810393</t>
  </si>
  <si>
    <t>pk@vgik.ru</t>
  </si>
  <si>
    <t>Федеральная служба по ветеринарному и фитосанитарному надзору (Россельхознадзор)</t>
  </si>
  <si>
    <t>Всероссийский государственный Центр качества и стандартизации лекарственных средств для животных и кормов</t>
  </si>
  <si>
    <t>1037739661695</t>
  </si>
  <si>
    <t>i.lugovaya@vgnki.ru</t>
  </si>
  <si>
    <t>123022, Москва, Звенигородское шоссе, 5</t>
  </si>
  <si>
    <t>+7 (495) 982-50-84 (доб. 121)</t>
  </si>
  <si>
    <t>Всероссийский институт научной и технической информации Российской академии наук</t>
  </si>
  <si>
    <t>1027739382769</t>
  </si>
  <si>
    <t>125190, Москва, Усиевича, 20</t>
  </si>
  <si>
    <t>понедельник - четверг 9:30-17:30, пятница 9:30-16:30, суббота, воскресенье - выходной</t>
  </si>
  <si>
    <t>8(499)1554512</t>
  </si>
  <si>
    <t>edu@viniti.ru</t>
  </si>
  <si>
    <t>Всероссийский научно – исследовательский институт племенного дела</t>
  </si>
  <si>
    <t>1025004913097</t>
  </si>
  <si>
    <t>Лесные Поляны</t>
  </si>
  <si>
    <t>141212, Лесные Поляны, Ленина, 13</t>
  </si>
  <si>
    <t>понедельник-пятница: 9:00-16:00 суббота и воскресенье: выходной</t>
  </si>
  <si>
    <t>+7 (495) 567-63-22</t>
  </si>
  <si>
    <t>priem.vuz@vniiplem.ru</t>
  </si>
  <si>
    <t>Всероссийский научно-исследовательский ветеринарный институт патологии, фармакологии и терапии</t>
  </si>
  <si>
    <t>1023601576360</t>
  </si>
  <si>
    <t>t.e.lobodina@mail.ru</t>
  </si>
  <si>
    <t>394087, Воронеж, Ломоносова, 114-Б</t>
  </si>
  <si>
    <t>понедельник-четверг:10:00-15:00, перерыв 12:00-13:00; пятница: 11:00-12:00; суббота и воскресенье: выходной</t>
  </si>
  <si>
    <t>8(473)253-92-81</t>
  </si>
  <si>
    <t>Всероссийский научно-исследовательский геологический нефтяной институт</t>
  </si>
  <si>
    <t>понедельник:10.00 -17.00 среда:10.00 - 17.00 четверг:10.00 - 17.00 суббота и воскресенье: выходной</t>
  </si>
  <si>
    <t>+7 (499) 781-68-63</t>
  </si>
  <si>
    <t>Всероссийский научно-исследовательский и технологический институт биологической промышленности</t>
  </si>
  <si>
    <t>1035010214436</t>
  </si>
  <si>
    <t>centrkomp_vnitibp@mail.ru</t>
  </si>
  <si>
    <t>поселок Биокомбината</t>
  </si>
  <si>
    <t>141142, поселок Биокомбината, х, 17</t>
  </si>
  <si>
    <t>понедельник-четверг: 8:00-17:00 пятница:8:00-16:00 суббота и воскресенье: выходной</t>
  </si>
  <si>
    <t>+7 (496) 567-32-63</t>
  </si>
  <si>
    <t>Всероссийский научно-исследовательский институт авиационных материалов Национального исследовательского центра «Курчатовский институт»</t>
  </si>
  <si>
    <t>1027739045399</t>
  </si>
  <si>
    <t>priem@viam.ru</t>
  </si>
  <si>
    <t>105005, Москва, Радио, 17</t>
  </si>
  <si>
    <t>понедельник-четверг: 9:00-17:30 пятница: 9:00-16:30 обед: 13:00-14:00 суббота и воскресенье: выходной</t>
  </si>
  <si>
    <t>8-499-263-86-62</t>
  </si>
  <si>
    <t>Всероссийский научно-исследовательский институт агрохимии имени Д.Н. Прянишникова</t>
  </si>
  <si>
    <t>1037713026560</t>
  </si>
  <si>
    <t>+7 (499) 977-09-44</t>
  </si>
  <si>
    <t>127434, Москва, улица Прянишникова, 31 а</t>
  </si>
  <si>
    <t>понедельник-четверг: 9:30-17:30 пятница: 9:30-16:00</t>
  </si>
  <si>
    <t>aspirantura@vniia-pr.ru, kpk@vniia-pr.ru</t>
  </si>
  <si>
    <t>Всероссийский научно-исследовательский институт защиты растений</t>
  </si>
  <si>
    <t>1027809005124</t>
  </si>
  <si>
    <t>Пушкин</t>
  </si>
  <si>
    <t>196608, Пушкин, шоссе Подбельского, 3</t>
  </si>
  <si>
    <t>понедельник-четверг: 10:00-15:00 пятница, суббота и воскресенье:выходной</t>
  </si>
  <si>
    <t>8(812)4704384</t>
  </si>
  <si>
    <t>graduate@vizr.spb.ru</t>
  </si>
  <si>
    <t>Тамбовская область</t>
  </si>
  <si>
    <t>Тамбов</t>
  </si>
  <si>
    <t>Всероссийский научно-исследовательский институт коневодства имени академика В.В. Калашникова</t>
  </si>
  <si>
    <t>1036216005231</t>
  </si>
  <si>
    <t>vniik08@mail.ru</t>
  </si>
  <si>
    <t>Дивово</t>
  </si>
  <si>
    <t>391105, Дивово, Ученых, нет</t>
  </si>
  <si>
    <t>понедельник-четверг: 9:00-16:30, пятница: 9:00-14:00</t>
  </si>
  <si>
    <t>(4912)24-02-65, доп. 115</t>
  </si>
  <si>
    <t>Всероссийский научно-исследовательский институт лекарственных и ароматических растений</t>
  </si>
  <si>
    <t>1027700388066</t>
  </si>
  <si>
    <t>8(495)712-16-63</t>
  </si>
  <si>
    <t>lanatomilova@yandex.ru</t>
  </si>
  <si>
    <t>117216, Москва, Грина, 7</t>
  </si>
  <si>
    <t>понедельник-четверг: 10:00-17:00 пятница: 10:00-16:00 суббота и воскресенье: выходной</t>
  </si>
  <si>
    <t>Федеральное агентство лесного хозяйства (Рослесхоз)</t>
  </si>
  <si>
    <t>Всероссийский научно-исследовательский институт лесоводства и механизации лесного хозяйства</t>
  </si>
  <si>
    <t>1025004911315</t>
  </si>
  <si>
    <t>nmo@vniilm.ru</t>
  </si>
  <si>
    <t>Пушкино</t>
  </si>
  <si>
    <t>141202, Пушкино, Институтская, 15</t>
  </si>
  <si>
    <t>8-495-993-30-54</t>
  </si>
  <si>
    <t>Всероссийский научно-исследовательский институт метрологии им. Д.И. Менделеева</t>
  </si>
  <si>
    <t>1027810219007</t>
  </si>
  <si>
    <t>a.a.tinkova@vniim.ru</t>
  </si>
  <si>
    <t>Санкт-петербург</t>
  </si>
  <si>
    <t>190005, Санкт-петербург, Московский проспект, 19</t>
  </si>
  <si>
    <t>понедельник-четверг: 9:00-17:00 пятница: 9:00-14.15 суббота и воскресенье: выходной</t>
  </si>
  <si>
    <t>8(812)323-93-79</t>
  </si>
  <si>
    <t>Всероссийский научно-исследовательский институт молочной промышленности</t>
  </si>
  <si>
    <t>1037739374672</t>
  </si>
  <si>
    <t>115093, Москва, Люсиновская, 35</t>
  </si>
  <si>
    <t>понедельник-вторник: 10:00-16:00 среда-воскресенье: выходной</t>
  </si>
  <si>
    <t>aspirantura@vnimi.org</t>
  </si>
  <si>
    <t>Всероссийский научно-исследовательский институт оптико-физических измерений</t>
  </si>
  <si>
    <t>1237700065470</t>
  </si>
  <si>
    <t>science@vniiofi.ru</t>
  </si>
  <si>
    <t>119361, Москва, Озерная, 46</t>
  </si>
  <si>
    <t>понедельник-четверг: 10:00-17:00, пятница: 10:00-16:00, суббота и воскресенье: выходной</t>
  </si>
  <si>
    <t>+74957812447</t>
  </si>
  <si>
    <t>Всероссийский научно-исследовательский институт охотничьего хозяйства и звероводства имени профессора Б.М. Житкова</t>
  </si>
  <si>
    <t>1024301308680</t>
  </si>
  <si>
    <t>Кировская область</t>
  </si>
  <si>
    <t>Киров</t>
  </si>
  <si>
    <t>610020, Киров, Преображенская, 79</t>
  </si>
  <si>
    <t>понедельник-четверг: 9:00-17:30, пятница: 9:00-16:00, суббота и воскресенье: выходной</t>
  </si>
  <si>
    <t>8(8332) 64-66-61</t>
  </si>
  <si>
    <t>aspirantura@vniioz-kirov.ru</t>
  </si>
  <si>
    <t>Всероссийский научно-исследовательский институт рыбного хозяйства и океанографии</t>
  </si>
  <si>
    <t>1157746053431</t>
  </si>
  <si>
    <t>105187, Москва, Окружной проезд, 19</t>
  </si>
  <si>
    <t>84993690306</t>
  </si>
  <si>
    <t>aspirant@vniro.ru</t>
  </si>
  <si>
    <t>Всероссийский научно-исследовательский институт селекции плодовых культур</t>
  </si>
  <si>
    <t>1025700696999</t>
  </si>
  <si>
    <t>Орловская область</t>
  </si>
  <si>
    <t>Жилина</t>
  </si>
  <si>
    <t>302530, Жилина, нет, 1</t>
  </si>
  <si>
    <t>8(4862)450071</t>
  </si>
  <si>
    <t>aspirantura@vniispk.ru</t>
  </si>
  <si>
    <t>Всероссийский научно-исследовательский институт сельскохозяйственной биотехнологии</t>
  </si>
  <si>
    <t>1037739342123</t>
  </si>
  <si>
    <t>127550, Москва, Тимирязевская, д 42</t>
  </si>
  <si>
    <t>понедельник- четверг: 10:00- 17:00 пятница 10:00- 15:00 суббота и воскресенье: выходной</t>
  </si>
  <si>
    <t>+7(499) 9779282</t>
  </si>
  <si>
    <t>aspirant@iab.ac.ru</t>
  </si>
  <si>
    <t>Всероссийский научно-исследовательский институт сельскохозяйственной микробиологии</t>
  </si>
  <si>
    <t>1027809002979</t>
  </si>
  <si>
    <t>farber.sp@arriam.ru</t>
  </si>
  <si>
    <t>понедельник-пятница: 9:00-17:00, суббота и воскресенье: выходной</t>
  </si>
  <si>
    <t>8 (812)-470-51-00</t>
  </si>
  <si>
    <t>Всероссийский научно-исследовательский институт физико-технических и радиотехнических измерений</t>
  </si>
  <si>
    <t>1035008854341</t>
  </si>
  <si>
    <t>psu@vniiftri.ru</t>
  </si>
  <si>
    <t>Менделеево</t>
  </si>
  <si>
    <t>141570, Менделеево, промзона ФНИИФТРИ, 11</t>
  </si>
  <si>
    <t>+7(916)1755707</t>
  </si>
  <si>
    <t>Всероссийский научно-исследовательский институт фитопатологии</t>
  </si>
  <si>
    <t>1025004057891</t>
  </si>
  <si>
    <t>o.vniif@yandex.ru</t>
  </si>
  <si>
    <t>Одинцовский район, РАБОЧИЙ ПОСЕЛОК БОЛЬШИЕ ВЯЗЕМЫ</t>
  </si>
  <si>
    <t>143050, Одинцовский район, РАБОЧИЙ ПОСЕЛОК БОЛЬШИЕ ВЯЗЕМЫ, УЛИЦА ИНСТИТУТ, 5</t>
  </si>
  <si>
    <t>8(495) 597-42-28</t>
  </si>
  <si>
    <t>Республика Крым</t>
  </si>
  <si>
    <t>Всероссийский центр экстренной и радиационной медицины имени А.М. Никифорова</t>
  </si>
  <si>
    <t>1027801553922</t>
  </si>
  <si>
    <t>nio-mcs@yandex.ru</t>
  </si>
  <si>
    <t>194044, Санкт-Петербург, АКАДЕМИКА ЛЕБЕДЕВА, 4/2</t>
  </si>
  <si>
    <t>Понедельник-пятница: 10:00-16:00; суббота-воскресенье: выходной.</t>
  </si>
  <si>
    <t>88127026345 доб 2303</t>
  </si>
  <si>
    <t>Высокогорный геофизический институт</t>
  </si>
  <si>
    <t>1020700755426</t>
  </si>
  <si>
    <t>Кабардино-Балкарская Республика</t>
  </si>
  <si>
    <t>bibliotekavgi@mail.ru</t>
  </si>
  <si>
    <t>Нальчик</t>
  </si>
  <si>
    <t>360030, Нальчик, Ленина, 2</t>
  </si>
  <si>
    <t>89287116734</t>
  </si>
  <si>
    <t>Государственная корпорация по атомной энергии «Росатом»</t>
  </si>
  <si>
    <t>Высокотехнологический научно-исследовательский институт неорганических материалов имени академика А.А.Бочвара</t>
  </si>
  <si>
    <t>5087746697198</t>
  </si>
  <si>
    <t>ABKlimova@bochvar.ru</t>
  </si>
  <si>
    <t>123098, Москва, Рогова, 5а</t>
  </si>
  <si>
    <t>Понедельник - четверг: 13.00 - 16.00 Пятница: 13.00 - 15.30 Суббота и воскресенье - выходной</t>
  </si>
  <si>
    <t>8(499)190 89 99 доб.82 92</t>
  </si>
  <si>
    <t>Высшая школа музыки Республики Саха (Якутия) (институт) имени В. А. Босикова</t>
  </si>
  <si>
    <t>1021401055719</t>
  </si>
  <si>
    <t>677007, Якутск, ш. Покровское 16 км., 2</t>
  </si>
  <si>
    <t>понедельник-пятница: 9:00-18:00; суббота и воскресенье: выходной</t>
  </si>
  <si>
    <t>+7 (4112) 316-003</t>
  </si>
  <si>
    <t>vshkolamus@mail.ru</t>
  </si>
  <si>
    <t>Высшая школа предпринимательства (институт)</t>
  </si>
  <si>
    <t>1026900507347</t>
  </si>
  <si>
    <t>170001, Тверь, Спартака,, 26</t>
  </si>
  <si>
    <t>понедельник - пятница: 9:00 - 18:00, суббота с 10:00 - 17:00</t>
  </si>
  <si>
    <t>+7 (4822) 73-80-61</t>
  </si>
  <si>
    <t>pk@vshp.online</t>
  </si>
  <si>
    <t>Высшая школа сценических искусств</t>
  </si>
  <si>
    <t>1207700257071</t>
  </si>
  <si>
    <t>129594, Москва, Шереметьевская, 6</t>
  </si>
  <si>
    <t>Понедельник-четверг: 10:00-17:30 пятница: 10:00-16:30 суббота и воскресенье: выходной</t>
  </si>
  <si>
    <t>8(495) 600-37-75</t>
  </si>
  <si>
    <t>pk@raikin-school/com\umo@raikin-school.com</t>
  </si>
  <si>
    <t>Высшая школа управления (ЦКО)</t>
  </si>
  <si>
    <t>1257700491080</t>
  </si>
  <si>
    <t>107014, Москва, 1-я Боевская, 2/12</t>
  </si>
  <si>
    <t>+7 (495) 414-15-68 понедельник-суббота: 9:00-19:00 воскресенье: выходной</t>
  </si>
  <si>
    <t>+7 (495) 414-15-68</t>
  </si>
  <si>
    <t>info@miyu.ru</t>
  </si>
  <si>
    <t>Высшее театральное училище (институт) им.М.С.Щепкина при Государственном академическом Малом театре России</t>
  </si>
  <si>
    <t>1027700456013</t>
  </si>
  <si>
    <t>109012, Москва, Неглинная, 6/2</t>
  </si>
  <si>
    <t>8-495-621-47-02</t>
  </si>
  <si>
    <t>priem@shepkinskoe.ru</t>
  </si>
  <si>
    <t>Высший художественно-технический институт</t>
  </si>
  <si>
    <t>1177800005866</t>
  </si>
  <si>
    <t>191028, Санкт-Петербург, улица Моховая, 40</t>
  </si>
  <si>
    <t>понедельник-пятница: 10:00-17:00, суббота и воскресенье: выходной</t>
  </si>
  <si>
    <t>8 (812) 920-88-43</t>
  </si>
  <si>
    <t>abiturient@vhutein.ru</t>
  </si>
  <si>
    <t>Вятский государственный агротехнологический университет</t>
  </si>
  <si>
    <t>1024301307690</t>
  </si>
  <si>
    <t>priem@vgatu.ru</t>
  </si>
  <si>
    <t>610017, Киров, Октябрьский проспект, 133</t>
  </si>
  <si>
    <t>понедельник-четверг: 9:00-16:00, суббота и воскресенье: выходной</t>
  </si>
  <si>
    <t>8 (8332) 57-43-21</t>
  </si>
  <si>
    <t>Вятский государственный университет</t>
  </si>
  <si>
    <t>1034316511041</t>
  </si>
  <si>
    <t>il_gubin@vyatsu.ru</t>
  </si>
  <si>
    <t>610000, Киров, ул. Московская, д. 36</t>
  </si>
  <si>
    <t>понедельник-пятница: 9:00-16:00 суббота: 9:00-13:00</t>
  </si>
  <si>
    <t>8 (8332) 74-29-29</t>
  </si>
  <si>
    <t>Гатчинский государственный университет</t>
  </si>
  <si>
    <t>1024701244017</t>
  </si>
  <si>
    <t>+7 (812) 635-47-47</t>
  </si>
  <si>
    <t>abiturient@gief.ru</t>
  </si>
  <si>
    <t>188300, Гатчина, Рощинская, 5</t>
  </si>
  <si>
    <t>понедельник-пятница: 9:00-16:30 суббота: 9:00-13:30 воскресенье: выходной</t>
  </si>
  <si>
    <t>Геологический институт им. Н.Л. Добрецова Сибирского отделения Российской академии наук</t>
  </si>
  <si>
    <t>1020300903611</t>
  </si>
  <si>
    <t>geojenny@mail.ru</t>
  </si>
  <si>
    <t>Улан-удэ</t>
  </si>
  <si>
    <t>670047, Улан-удэ, Сахъяновой, 6а</t>
  </si>
  <si>
    <t>понедельник-пятница: 9:00-15:00. Суббота и воскресенье: выходной</t>
  </si>
  <si>
    <t>+7 950 389 9683</t>
  </si>
  <si>
    <t>Геологический институт Российской академии наук</t>
  </si>
  <si>
    <t>1037739505858</t>
  </si>
  <si>
    <t>+7(495)953-65-83</t>
  </si>
  <si>
    <t>aspirantura@ginras.ru</t>
  </si>
  <si>
    <t>119017, Москва, Пыжевский переулок, 7</t>
  </si>
  <si>
    <t>понедельник-четверг: 11:00-17:30, пятница: 11:00-16:30, суббота и воскресенье: выходной</t>
  </si>
  <si>
    <t>Геофизический центр Российской академии наук</t>
  </si>
  <si>
    <t>1037739048489</t>
  </si>
  <si>
    <t>119296, Москва, Молодёжная, 3</t>
  </si>
  <si>
    <t>Гжельский государственный университет</t>
  </si>
  <si>
    <t>1025005117213</t>
  </si>
  <si>
    <t>Электроизолятор</t>
  </si>
  <si>
    <t>140155, Электроизолятор, -, 67</t>
  </si>
  <si>
    <t>понедельник-пятница с 9:00 до 16:00 суббота с 9:00 до 14:00 воскресенье выходной</t>
  </si>
  <si>
    <t>+7 (496) 469-75-33</t>
  </si>
  <si>
    <t>hotline@art-gzhel.ru</t>
  </si>
  <si>
    <t>Главная (Пулковская) астрономическая обсерватория Российской академии наук</t>
  </si>
  <si>
    <t>1037821018421</t>
  </si>
  <si>
    <t>196140, Санкт-Петербург, Пулковское шоссе, 65</t>
  </si>
  <si>
    <t>понедельник-четверг: 11:00-16:00 пятница: 11:00-15:00 суббота и воскресенье: выходной</t>
  </si>
  <si>
    <t>+7(812)604-19-84, доб. 7403</t>
  </si>
  <si>
    <t>aspir@gaoran.ru</t>
  </si>
  <si>
    <t>Главная геофизическая обсерватория им. А.И.Воейкова</t>
  </si>
  <si>
    <t>1027801554604</t>
  </si>
  <si>
    <t>194021, Санкт-Петербург, Карбышева, 7</t>
  </si>
  <si>
    <t>понедельник-четверг: 10:00-17:00 пятница: 11:00-16:00 суббота и воскресенье: выходной</t>
  </si>
  <si>
    <t>+7 (812) 297-43-90</t>
  </si>
  <si>
    <t>director@voeikovmgo.ru</t>
  </si>
  <si>
    <t>Главный ботанический сад им. Н.В. Цицина Российской академии наук</t>
  </si>
  <si>
    <t>1027739758892</t>
  </si>
  <si>
    <t>aspirantura@gbsad.ru</t>
  </si>
  <si>
    <t>445057, Москва, Ботаническая, д 4</t>
  </si>
  <si>
    <t>Понедельник - четверг: 9.00-18.00; пятница: 9.00-16.45; суббота и воскресенье: выходной</t>
  </si>
  <si>
    <t>+74999779172</t>
  </si>
  <si>
    <t>Глазовский государственный инженерно-педагогический университет имени В.Г. Короленко</t>
  </si>
  <si>
    <t>1021801093577</t>
  </si>
  <si>
    <t>Удмуртская Республика</t>
  </si>
  <si>
    <t>Глазов</t>
  </si>
  <si>
    <t>427621, Глазов, Первомайская, 25</t>
  </si>
  <si>
    <t>понедельник-пятница 9.00-18.00, суббота-воскресенье - выходной</t>
  </si>
  <si>
    <t>83414157552</t>
  </si>
  <si>
    <t>priemgipu@yandex.ru</t>
  </si>
  <si>
    <t>Горно-Алтайский государственный университет</t>
  </si>
  <si>
    <t>1020400755880</t>
  </si>
  <si>
    <t>Республика Алтай</t>
  </si>
  <si>
    <t>prikom@gasu.ru</t>
  </si>
  <si>
    <t>Горно-Алтайск</t>
  </si>
  <si>
    <t>649000, Горно-Алтайск, Ленкина, 1</t>
  </si>
  <si>
    <t>понедельник-четверг: 9:00-17:00 пятница: 9:00-16:15 суббота и воскресенье: выходной</t>
  </si>
  <si>
    <t>8(388-22)67366</t>
  </si>
  <si>
    <t>Горский государственный аграрный университет</t>
  </si>
  <si>
    <t>1021500673677</t>
  </si>
  <si>
    <t>362040, Владикавказ, Кирова, 37</t>
  </si>
  <si>
    <t>8 (8672) 54-08-77</t>
  </si>
  <si>
    <t>priem@gorskigau.ru</t>
  </si>
  <si>
    <t>Государственная публичная научно-техническая библиотека Сибирского отделения Российской академии наук</t>
  </si>
  <si>
    <t>1025401929981</t>
  </si>
  <si>
    <t>Новосибирская область</t>
  </si>
  <si>
    <t>(383)373-62-15</t>
  </si>
  <si>
    <t>tumanik@spsl.nsc.ru</t>
  </si>
  <si>
    <t>Новосибирск, Россия</t>
  </si>
  <si>
    <t>630102, Новосибирск, Россия, Восход, 15</t>
  </si>
  <si>
    <t>понедельник-пятница: 10:00-16:30 суббота и воскресенье: выходной</t>
  </si>
  <si>
    <t>Государственный академический университет гуманитарных наук</t>
  </si>
  <si>
    <t>1037739068630</t>
  </si>
  <si>
    <t>119049, Москва, Мароновский пер., 26</t>
  </si>
  <si>
    <t>понедельник-пятница: 09:00 - 18:00 суббота и воскресенье: выходной</t>
  </si>
  <si>
    <t>+7(499)238-04-12</t>
  </si>
  <si>
    <t>priem@gaugn.ru</t>
  </si>
  <si>
    <t>125009, Москва, Моховая, 11</t>
  </si>
  <si>
    <t>Государственный гидрологический институт</t>
  </si>
  <si>
    <t>1027800550360</t>
  </si>
  <si>
    <t>199004, Санкт-Петербург, 2 линия ВО, 23</t>
  </si>
  <si>
    <t>понедельник-четверг: 11:00-16:45 пятница 11:00-15:00 суббота и воскресенье: выходной</t>
  </si>
  <si>
    <t>+7(812) 323-32-64, +7(812) 323-34-47</t>
  </si>
  <si>
    <t>docaspirant@ggi.nw.ru</t>
  </si>
  <si>
    <t>Государственный гуманитарно-технологический университет</t>
  </si>
  <si>
    <t>1025004582734</t>
  </si>
  <si>
    <t>Орехово-Зуево</t>
  </si>
  <si>
    <t>142611, Орехово-Зуево, Зеленая, 22</t>
  </si>
  <si>
    <t>Понедельник – пятница: 9:00-17:00 суббота и воскресенье: выходной день. Тел. 8 (939) 841-90-64</t>
  </si>
  <si>
    <t>8 (499) 955-25-15</t>
  </si>
  <si>
    <t>mo_ggtu_pk@mosreg.ru</t>
  </si>
  <si>
    <t>Государственный институт искусствознания</t>
  </si>
  <si>
    <t>1027739651961</t>
  </si>
  <si>
    <t>aspir@sias.ru</t>
  </si>
  <si>
    <t>125009, г. Москва, пер. Козицкий, 5</t>
  </si>
  <si>
    <t>понедельник-четверг: 11.00-17.00 пятница 11.00-16.00 суббота и воскресенье: выходной</t>
  </si>
  <si>
    <t>+7 (495) 694-03-71, +7 (495) 609-00-18</t>
  </si>
  <si>
    <t>Государственный институт русского языка им. А.С. Пушкина</t>
  </si>
  <si>
    <t>1027739827323</t>
  </si>
  <si>
    <t>117485, Москва, Академика Волгина, 6</t>
  </si>
  <si>
    <t>понедельник-пятница: 10:00-18:00 (перерыв 14:00-15:00) суббота и воскресенье: 10:00-14:00</t>
  </si>
  <si>
    <t>+7 (495) 335-11-33</t>
  </si>
  <si>
    <t>abiturient@pushkin.institute</t>
  </si>
  <si>
    <t>Государственный морской университет имени адмирала Ф.Ф.Ушакова</t>
  </si>
  <si>
    <t>1022302378670</t>
  </si>
  <si>
    <t>pcom@aumsu.ru</t>
  </si>
  <si>
    <t>Новороссийск</t>
  </si>
  <si>
    <t>353924, Новороссийск, проспект Ленина, 93</t>
  </si>
  <si>
    <t>Понедельник-пятница: с 10 до 17 суббота и воскресенье: выходной</t>
  </si>
  <si>
    <t>8 (8617) 71-63-03</t>
  </si>
  <si>
    <t>Государственный музыкально-педагогический институт имени М.М. Ипполитова-Иванова</t>
  </si>
  <si>
    <t>1027739276652</t>
  </si>
  <si>
    <t>109147, Москва, Марксистская, 36</t>
  </si>
  <si>
    <t>Понедельник-пятница: 10:00-13:00 и 14:00-17:00. Суббота и воскресенье: выходной</t>
  </si>
  <si>
    <t>+74959119524</t>
  </si>
  <si>
    <t>priem@ippolitovka.ru</t>
  </si>
  <si>
    <t>Государственный научно-исследовательский институт авиационных систем</t>
  </si>
  <si>
    <t>1227700109295</t>
  </si>
  <si>
    <t>8(499)157-92-84, 8(499)157-93-76</t>
  </si>
  <si>
    <t>aspir@gosniias.ru</t>
  </si>
  <si>
    <t>125319, Москва, Викторенко, 7</t>
  </si>
  <si>
    <t>Федеральное медико-биологическое агентство (ФМБА России)</t>
  </si>
  <si>
    <t>Государственный научно-исследовательский институт биологического приборостроения</t>
  </si>
  <si>
    <t>1027700410858</t>
  </si>
  <si>
    <t>aspirant@gosniibp.ru</t>
  </si>
  <si>
    <t>125424, Москва, Волоколамское шоссе, 75</t>
  </si>
  <si>
    <t>понедельник-четверг: 10:00-18:00 пятница, суббота и воскресенье: выходной</t>
  </si>
  <si>
    <t>(8495)491-73-72</t>
  </si>
  <si>
    <t>Государственный научный центр "Институт иммунологии" ФМБА России</t>
  </si>
  <si>
    <t>1097746301278</t>
  </si>
  <si>
    <t>instimmun@yandex.ru</t>
  </si>
  <si>
    <t>115522, Москва, Каширское шоссе, 24</t>
  </si>
  <si>
    <t>понедельник - пятница: 10:00-13:00 суббота и воскресенье: выходной</t>
  </si>
  <si>
    <t>84996128803</t>
  </si>
  <si>
    <t>Государственный научный центр вирусологии и биотехнологии «Вектор»</t>
  </si>
  <si>
    <t>1055475048122</t>
  </si>
  <si>
    <t>aspirantura@vector.nsc.ru</t>
  </si>
  <si>
    <t>Кольцово</t>
  </si>
  <si>
    <t>630559, Кольцово, нет, нет</t>
  </si>
  <si>
    <t>понедельник -пятница: 9:00-16:30 суббота и воскресенье: выходной</t>
  </si>
  <si>
    <t>+73833634710</t>
  </si>
  <si>
    <t>Государственный научный центр дерматовенерологии и косметологии</t>
  </si>
  <si>
    <t>1087746788095</t>
  </si>
  <si>
    <t>107076, Москва, Короленко, 3</t>
  </si>
  <si>
    <t>+7499-785-20-65</t>
  </si>
  <si>
    <t>obrazovanie@cnikvi.ru</t>
  </si>
  <si>
    <t>Государственный научный центр прикладной микробиологии и биотехнологии</t>
  </si>
  <si>
    <t>1055011113772</t>
  </si>
  <si>
    <t>kobzeva@obolensk.org</t>
  </si>
  <si>
    <t>Серпухов, рабочий поселок Оболенск,</t>
  </si>
  <si>
    <t>142279, Серпухов, рабочий поселок Оболенск,, территория «Квартал А», 24</t>
  </si>
  <si>
    <t>понедельник-пятница: 9:00-16.00 суббота и воскресенье: выходной</t>
  </si>
  <si>
    <t>8 (4967) 36-00-69</t>
  </si>
  <si>
    <t>Государственный научный центр Российской Федерации - Федеральный медицинский биофизический центр имени А.И. Бурназяна</t>
  </si>
  <si>
    <t>1087746355498</t>
  </si>
  <si>
    <t>123098, Москва, Живописная, 46</t>
  </si>
  <si>
    <t>понедельник-суббота: 9:00-18:00, перерыв 12:00-13:00</t>
  </si>
  <si>
    <t>‎+7 (965) 242-62-16</t>
  </si>
  <si>
    <t>priem_mbuino@mail.ru</t>
  </si>
  <si>
    <t>Государственный научный центр Российской Федерации Институт биоорганической химии им. академиков М.М. Шемякина и Ю.А. Овчинникова Российской академии наук</t>
  </si>
  <si>
    <t>1037739009110</t>
  </si>
  <si>
    <t>117997, Москва, Миклухо-Маклая, 16/10</t>
  </si>
  <si>
    <t>понедельник-пятница:10.30-17:30 суббота и воскресенье: выходной</t>
  </si>
  <si>
    <t>+7(495) 995-55-57 (21-16)</t>
  </si>
  <si>
    <t>aspirantura@ibch.ru</t>
  </si>
  <si>
    <t>Государственный научный центр Российской Федерации– Институт медико-биологических проблем Российской академии наук</t>
  </si>
  <si>
    <t>1027739333710</t>
  </si>
  <si>
    <t>123007, Москва, Хорошевское шоссе, 76A</t>
  </si>
  <si>
    <t>понедельник-четверг: 10:00-12:00; 14:00-16:00</t>
  </si>
  <si>
    <t>+7-499-195-63-58</t>
  </si>
  <si>
    <t>imbp-phd@yandex.ru</t>
  </si>
  <si>
    <t>Государственный океанографический институт имени Н.Н.Зубова</t>
  </si>
  <si>
    <t>1027739720040</t>
  </si>
  <si>
    <t>119034, Москва, Кропоткинский пер, 6</t>
  </si>
  <si>
    <t>+84992465377</t>
  </si>
  <si>
    <t>ok2a88@mail.ru</t>
  </si>
  <si>
    <t>Государственный Социально-Гуманитарный Университет</t>
  </si>
  <si>
    <t>1035004258475</t>
  </si>
  <si>
    <t>mo_gsgu_admission@mosreg.ru</t>
  </si>
  <si>
    <t>Коломна</t>
  </si>
  <si>
    <t>140410, Коломна, Зелёная, 30</t>
  </si>
  <si>
    <t>Понедельник-пятница: 09:00 – 16:30; Суббота: 09:00 – 13:00; Воскресенье: выходной</t>
  </si>
  <si>
    <t>+7 (496) 610-15-48</t>
  </si>
  <si>
    <t>Государственный университет морского и речного флота имени адмирала С.О. Макарова</t>
  </si>
  <si>
    <t>1037811048989</t>
  </si>
  <si>
    <t>198035, Санкт-Петербург, ДВИНСКАЯ, 5/7</t>
  </si>
  <si>
    <t>Понедельник-Пятница: 9:00-17:00, Суббота: 9:00-13:00, воскресенье: выходной</t>
  </si>
  <si>
    <t>8 (812) 748-97-12</t>
  </si>
  <si>
    <t>pk_byud@gumrf.ru</t>
  </si>
  <si>
    <t>Государственный университет по землеустройству</t>
  </si>
  <si>
    <t>1027700028840</t>
  </si>
  <si>
    <t>105064, Москва, Казакова, 15</t>
  </si>
  <si>
    <t>понедельник-четверг 10:00-17:00, пятница 10:00-16:45, суббота 10:00-14:00, воскресенье: выходной</t>
  </si>
  <si>
    <t>+7 (495) 249 92 49</t>
  </si>
  <si>
    <t>pk@guz.ru</t>
  </si>
  <si>
    <t>Государственный университет просвещения</t>
  </si>
  <si>
    <t>1027700136452</t>
  </si>
  <si>
    <t>105005, Москва, Радио, 10 А</t>
  </si>
  <si>
    <t>Понедельник - четверг: 09:00-17:30 пятница: 09:00-16:30 суббота и воскресенье: выходной</t>
  </si>
  <si>
    <t>+7 (495) 780-09-41</t>
  </si>
  <si>
    <t>priemka@guppros.ru</t>
  </si>
  <si>
    <t>Государственный университет управления</t>
  </si>
  <si>
    <t>1027739017976</t>
  </si>
  <si>
    <t>109542, Москва, Рязанский проспект, 99</t>
  </si>
  <si>
    <t>Понедельник-четверг: 10:00-18:00 Пятница: 10:00-17:00 Суббота: 10:00-14:00</t>
  </si>
  <si>
    <t>+7(495)371-00-55</t>
  </si>
  <si>
    <t>priem@guu.ru</t>
  </si>
  <si>
    <t>Грозненский государственный нефтяной технический университет имени академика М.Д. Миллионщикова</t>
  </si>
  <si>
    <t>1022002549580</t>
  </si>
  <si>
    <t>Чеченская Республика</t>
  </si>
  <si>
    <t>Грозный</t>
  </si>
  <si>
    <t>364051, Грозный, просп. Хусейна Исаева, 100</t>
  </si>
  <si>
    <t>Понедельник-пятница: 9:00-18:00 Суббота и воскресенье: выходной</t>
  </si>
  <si>
    <t>+7 (929) 003-66-66</t>
  </si>
  <si>
    <t>priem@gstou.ru</t>
  </si>
  <si>
    <t>Гуманитарно-социальный институт</t>
  </si>
  <si>
    <t>1025003216468</t>
  </si>
  <si>
    <t>info@vuz-gsi.ru</t>
  </si>
  <si>
    <t>Красково</t>
  </si>
  <si>
    <t>140050, Красково, Карла Маркса, 117</t>
  </si>
  <si>
    <t>понедельник-суббота: 9:00-17:30, воскресенье: выходной</t>
  </si>
  <si>
    <t>7 (495) 501-44-09</t>
  </si>
  <si>
    <t>Гуманитарный институт имени П.А. Столыпина</t>
  </si>
  <si>
    <t>1027700156824</t>
  </si>
  <si>
    <t>rgis-vsk@bk.ru</t>
  </si>
  <si>
    <t>115093, Москва, Большая Серпуховская, 44</t>
  </si>
  <si>
    <t>понедельник-пятница: 10:00-17:00</t>
  </si>
  <si>
    <t>8 (495) 716-41-27</t>
  </si>
  <si>
    <t>Гуманитарный университет</t>
  </si>
  <si>
    <t>1169600000668</t>
  </si>
  <si>
    <t>620041, Екатеринбург, Железнодорожников, 3</t>
  </si>
  <si>
    <t>Понедельник-пятница: с 10.00 - 18.00, суббота: с 10.00 - 16.00, воскресенье: выходной</t>
  </si>
  <si>
    <t>8 (343) 305 50 74 8-902-27-19-376</t>
  </si>
  <si>
    <t>priem.gu@mail.ru</t>
  </si>
  <si>
    <t>Дагестанская академия образования и культуры</t>
  </si>
  <si>
    <t>1020502003609</t>
  </si>
  <si>
    <t>Республика Дагестан</t>
  </si>
  <si>
    <t>Дербент</t>
  </si>
  <si>
    <t>368600, Дербент, Шахбазова, 67</t>
  </si>
  <si>
    <t>понедельник-пятница: 9:00-15:00</t>
  </si>
  <si>
    <t>89280525111</t>
  </si>
  <si>
    <t>deriik@rambler.ru</t>
  </si>
  <si>
    <t>Дагестанский государственный аграрный университет имени М.М.Джамбулатова</t>
  </si>
  <si>
    <t>1020502462200</t>
  </si>
  <si>
    <t>Махачкала</t>
  </si>
  <si>
    <t>367032, Махачкала, Магомета Гаджиева, 180</t>
  </si>
  <si>
    <t>+7929-866-81-46</t>
  </si>
  <si>
    <t>priem.daggau@mail.ru</t>
  </si>
  <si>
    <t>Дагестанский государственный медицинский университет Министерства здравоохранения Российской Федерации</t>
  </si>
  <si>
    <t>1020502631643</t>
  </si>
  <si>
    <t>367000, Махачкала, площадь Ленина, 1</t>
  </si>
  <si>
    <t>понедельник-пятница: 9:00-13:00 и 14:00-17:00 суббота и воскресенье: выходной</t>
  </si>
  <si>
    <t>+7(872)255-49-56</t>
  </si>
  <si>
    <t>pk-dgmu@yandex.ru</t>
  </si>
  <si>
    <t>Дагестанский государственный педагогический университет им. Р. Гамзатова</t>
  </si>
  <si>
    <t>1020502522435</t>
  </si>
  <si>
    <t>367000, Махачкала, Магомеда Ярагского, 57</t>
  </si>
  <si>
    <t>Понедельник-четверг: 9:00-18:00 пятница: 9:00-17:00 суббота и воскресенье: выходной</t>
  </si>
  <si>
    <t>8 (8722) 67-09-49</t>
  </si>
  <si>
    <t>dgpupriem@mail.ru</t>
  </si>
  <si>
    <t>Дагестанский государственный технический университет</t>
  </si>
  <si>
    <t>1020502629180</t>
  </si>
  <si>
    <t>367026, Махачкала, пр. И.Шамиля, 70</t>
  </si>
  <si>
    <t>Понедельник–пятница: 9:00-18:00, перерыв 13:00-14:00; Суббота-воскресенье: 9:00-17:00, перерыв 13:00-14:00.</t>
  </si>
  <si>
    <t>+7 (8722) 62-45-45</t>
  </si>
  <si>
    <t>abiturient@dstu.ru</t>
  </si>
  <si>
    <t>Дагестанский государственный университет</t>
  </si>
  <si>
    <t>1020502631621</t>
  </si>
  <si>
    <t>367000, Махачкала, ул. Магомета Гаджиева, 43 А</t>
  </si>
  <si>
    <t>Понедельник - пятница: 9:00-17:00; суббота: 9:00-16:00; перерыв: 12:00-13:00; воскресенье: выходной</t>
  </si>
  <si>
    <t>+7(8722) 51-02-80 (многоканальный); +7(8722) 56-21-16</t>
  </si>
  <si>
    <t>priem@dgu.ru</t>
  </si>
  <si>
    <t>Дагестанский государственный университет народного хозяйства</t>
  </si>
  <si>
    <t>1020502459768</t>
  </si>
  <si>
    <t>367008, Махачкала, Джамалутдина Атаева, 5</t>
  </si>
  <si>
    <t>понедельник- пятница: 9.00-17.00, суббота:9.00-14.00 воскресенье-выходной</t>
  </si>
  <si>
    <t>+79894709704</t>
  </si>
  <si>
    <t>priem@dgunh.ru</t>
  </si>
  <si>
    <t>Дагестанский гуманитарный институт</t>
  </si>
  <si>
    <t>1180571012203</t>
  </si>
  <si>
    <t>367000, Махачкала, Дахадаева, 136</t>
  </si>
  <si>
    <t>понедельник-пятница: 9:00-17:00 ; суббота и воскресенье: выходной</t>
  </si>
  <si>
    <t>89674008008</t>
  </si>
  <si>
    <t>pkdgi@mail.ru</t>
  </si>
  <si>
    <t>Дагестанский федеральный исследовательский центр Российской академии наук</t>
  </si>
  <si>
    <t>1020502464421</t>
  </si>
  <si>
    <t>aspirantura_dfic@mail.ru</t>
  </si>
  <si>
    <t>367000, Махачкала, М. Гаджиева, 45</t>
  </si>
  <si>
    <t>+79882911817</t>
  </si>
  <si>
    <t>Дальневосточная государственная академия физической культуры</t>
  </si>
  <si>
    <t>1022701126843</t>
  </si>
  <si>
    <t>Хабаровск</t>
  </si>
  <si>
    <t>680028, Хабаровск, Амурский бульвар, 1</t>
  </si>
  <si>
    <t>- до 20 июня 2026 г., после 31 августа 2026 г.: понедельник-четверг: 09:00-17:00, пятница: 09:00-16:00, суббота и воскресенье: выходной. - с 20 июня по 31 августа 2026 г.: понедельник-пятница: 09:00-17:00, суббота: 10:00-14:00, воскресенье: выходной.</t>
  </si>
  <si>
    <t>8 (4212) 477-553</t>
  </si>
  <si>
    <t>dvgafkpriem@rambler.ru</t>
  </si>
  <si>
    <t>Дальневосточный геологический институт Дальневосточного отделения Российской академии наук</t>
  </si>
  <si>
    <t>1022502124292</t>
  </si>
  <si>
    <t>alex.holodov@gmail.com</t>
  </si>
  <si>
    <t>г.Владивосток</t>
  </si>
  <si>
    <t>690022, г.Владивосток, пр-т 100 лет Владивостоку, 159</t>
  </si>
  <si>
    <t>Понедельник-пятница: 10:30 - 16:00 по местному времени (+7 к московскому). Суббота, воскресенье: выходной.</t>
  </si>
  <si>
    <t>89502896270</t>
  </si>
  <si>
    <t>Дальневосточный государственный аграрный университет</t>
  </si>
  <si>
    <t>1022800525923</t>
  </si>
  <si>
    <t>675005, Благовещенск, Политехническая, 86</t>
  </si>
  <si>
    <t>понедельник-пятница: 8:00-17:00 суббота: 9:00-13:00 воскресенье: выходной</t>
  </si>
  <si>
    <t>8(4162)-99-51-12</t>
  </si>
  <si>
    <t>priem@dalgau.ru</t>
  </si>
  <si>
    <t>Дальневосточный государственный институт искусств</t>
  </si>
  <si>
    <t>1022501298225</t>
  </si>
  <si>
    <t>priem@dv-art.ru</t>
  </si>
  <si>
    <t>690091, Владивосток, Петра Великого, 3</t>
  </si>
  <si>
    <t>Понедельник-пятница: 10:00-17:00, суббота:10:00-13:00. Воскресенье выходной</t>
  </si>
  <si>
    <t>+7423 226-44-88</t>
  </si>
  <si>
    <t>Дальневосточный государственный медицинский университет Министерства здравоохранения Российской Федерации</t>
  </si>
  <si>
    <t>1032700296078</t>
  </si>
  <si>
    <t>680000, Хабаровск, ул. Муравьева-Амурского, 35</t>
  </si>
  <si>
    <t>20 июня по 20 августа: понедельник-пятница 9:00-17:00 обед: 13:00-14:00 суббота и воскресенье: выходной. 21 августа по 19 июня: понедельник-пятница 15:00-17:00 суббота и воскресенье: выходной</t>
  </si>
  <si>
    <t>8-4212-30-23-56</t>
  </si>
  <si>
    <t>prcom@mail.fesmu.ru</t>
  </si>
  <si>
    <t>Дальневосточный государственный технический рыбохозяйственный университет</t>
  </si>
  <si>
    <t>1022501915061</t>
  </si>
  <si>
    <t>690087, Владивосток, Луговая, 52</t>
  </si>
  <si>
    <t>понедельник-пятница: 9.00-18.00, суббота: 10.00-14.00, воскресенье: выходной.</t>
  </si>
  <si>
    <t>8(423)226-04-18</t>
  </si>
  <si>
    <t>priem@dgtru.ru</t>
  </si>
  <si>
    <t>Федеральное агентство железнодорожного транспорта (РОСЖЕЛДОР)</t>
  </si>
  <si>
    <t>Дальневосточный государственный университет путей сообщения</t>
  </si>
  <si>
    <t>1022701287652</t>
  </si>
  <si>
    <t>cfks@festu.khv.ru</t>
  </si>
  <si>
    <t>680021, Хабаровск, Серышева, 47</t>
  </si>
  <si>
    <t>понедельник-пятница: 09:00-18:00, суббота: 09:00-13:00, воскресенье: выходной</t>
  </si>
  <si>
    <t>8(4212)407391</t>
  </si>
  <si>
    <t>Дальневосточный зональный научно-исследовательский ветеринарный институт</t>
  </si>
  <si>
    <t>1022800519631</t>
  </si>
  <si>
    <t>БЛАГОВЕЩЕНСК</t>
  </si>
  <si>
    <t>675005, БЛАГОВЕЩЕНСК, УЛИЦА СЕВЕРНАЯ, 112</t>
  </si>
  <si>
    <t>Дальневосточный институт коммуникаций</t>
  </si>
  <si>
    <t>1042504353980</t>
  </si>
  <si>
    <t>690013, Владивосток, Каплунова, 7</t>
  </si>
  <si>
    <t>Понедельник - четверг: 8.30 - 17.00 Пятница: 8.30 - 16.00 Обед: 12.00 - 12.30 Выходной: суббота, воскресенье</t>
  </si>
  <si>
    <t>+7 (968) 143-36-65, +7 (423) 261-16-33</t>
  </si>
  <si>
    <t>feic@mail.ru</t>
  </si>
  <si>
    <t>Дальневосточный научный центр физиологии и патологии дыхания</t>
  </si>
  <si>
    <t>1022800509302</t>
  </si>
  <si>
    <t>675000, Благовещенск, Калинина, 22</t>
  </si>
  <si>
    <t>понедельник-пятница: 9:00-17:00</t>
  </si>
  <si>
    <t>8-4162-77-28-00</t>
  </si>
  <si>
    <t>dncfpd@dncfpd.ru</t>
  </si>
  <si>
    <t>Дальневосточный федеральный университет</t>
  </si>
  <si>
    <t>1022501297785</t>
  </si>
  <si>
    <t>Владивосток, п-ов Саперный</t>
  </si>
  <si>
    <t>690089, Владивосток, п-ов Саперный, п.Аякс, 10</t>
  </si>
  <si>
    <t>понедельник-пятница: 10:00-18:00 суббота: 10:00-14:00 воскресенье: выходной</t>
  </si>
  <si>
    <t>88005503838</t>
  </si>
  <si>
    <t>priem@dvfu.ru</t>
  </si>
  <si>
    <t>Министерство иностранных дел Российской Федерации (МИД России)</t>
  </si>
  <si>
    <t>Донбасская аграрная академия</t>
  </si>
  <si>
    <t>1229300117936</t>
  </si>
  <si>
    <t>Донецкая Народная Республика</t>
  </si>
  <si>
    <t>Макеевка</t>
  </si>
  <si>
    <t>286157, Макеевка, Островского, 16</t>
  </si>
  <si>
    <t>Понедельник-пятница: 9.00-15.00, суббота и воскресенье выходной</t>
  </si>
  <si>
    <t>+79493552466</t>
  </si>
  <si>
    <t>priomkom_donagra@mail.ru</t>
  </si>
  <si>
    <t>Донбасский государственный технический университет</t>
  </si>
  <si>
    <t>1229400023368</t>
  </si>
  <si>
    <t>Луганская Народная Республика</t>
  </si>
  <si>
    <t>Алчевск</t>
  </si>
  <si>
    <t>294204, Алчевск, проспект Ленина, 16</t>
  </si>
  <si>
    <t>"понедельник-четверг: 8:00-17:00 пятница: 8:00-16:00 суббота и воскресенье: выходной"</t>
  </si>
  <si>
    <t>+7 (85742) 2-72-00</t>
  </si>
  <si>
    <t>priem@dontu.ru</t>
  </si>
  <si>
    <t>Донбасский государственный университет юстиции</t>
  </si>
  <si>
    <t>1229300092086</t>
  </si>
  <si>
    <t>Донецк</t>
  </si>
  <si>
    <t>283049, Донецк, Лебединского, 9</t>
  </si>
  <si>
    <t>понедельник-пятница: 9:00-17:00 суббота: 9:00-14:00 воскресенье: выходной</t>
  </si>
  <si>
    <t>+7949 591-25-48</t>
  </si>
  <si>
    <t>pk_dsuj@mail.ru</t>
  </si>
  <si>
    <t>ДОНЕЦКАЯ АКАДЕМИЯ ТРАНСПОРТА</t>
  </si>
  <si>
    <t>1229300048999</t>
  </si>
  <si>
    <t>283086, Донецк, проспект Дзержинского, 7</t>
  </si>
  <si>
    <t>Понедельник-пятница: 8:00-14:00 перерыв 12:00-13:00; суббота: 9:00-13:00 суббота; воскресенье: выходной</t>
  </si>
  <si>
    <t>+7(949) 478-01-02</t>
  </si>
  <si>
    <t>pk@dat-dn.ru</t>
  </si>
  <si>
    <t>Донецкая государственная музыкальная академия имени C.C. Прокофьева</t>
  </si>
  <si>
    <t>1229300079821</t>
  </si>
  <si>
    <t>283086, Донецк, Артёма, 44</t>
  </si>
  <si>
    <t>понедельник-пятница:9.00-16.00, суббота: 9.00-14.00, воскресенье - выходной</t>
  </si>
  <si>
    <t>+794940677574</t>
  </si>
  <si>
    <t>abiturient_dgma@mail.ru</t>
  </si>
  <si>
    <t>Донецкий Ботанический Сад</t>
  </si>
  <si>
    <t>1229300154380</t>
  </si>
  <si>
    <t>283023, Донецк, Ильича, 110</t>
  </si>
  <si>
    <t>понедельник-пятница 9.00-16.00 суббота-воскресенье: выходной</t>
  </si>
  <si>
    <t>+79493206494</t>
  </si>
  <si>
    <t>donetsk-sad@mail.ru</t>
  </si>
  <si>
    <t>Донецкий государственный медицинский университет имени М. Горького</t>
  </si>
  <si>
    <t>1229300028000</t>
  </si>
  <si>
    <t>83003, Донецк, проспект Ильича, 16</t>
  </si>
  <si>
    <t>понедельник-пятница:9:00-16:00, суббота: 9:00-12:00, воскресенье: выходной</t>
  </si>
  <si>
    <t>+7(856)344-40-75</t>
  </si>
  <si>
    <t>priemnaya-komissiya@dnmu.ru</t>
  </si>
  <si>
    <t>Донецкий государственный педагогический университет им. В. Шаталова</t>
  </si>
  <si>
    <t>1229300145909</t>
  </si>
  <si>
    <t>gifl1949pk@mail.ru</t>
  </si>
  <si>
    <t>Горловка</t>
  </si>
  <si>
    <t>284626, Горловка, Рудакова, 25</t>
  </si>
  <si>
    <t>понедельник-пятница: 9:00-16:00 суббота: 9:00-12:00 воскресенье: выходной</t>
  </si>
  <si>
    <t>+79494586282</t>
  </si>
  <si>
    <t>Донецкий государственный университет</t>
  </si>
  <si>
    <t>1229300075619</t>
  </si>
  <si>
    <t>283048, Донецк, Университетская, 24</t>
  </si>
  <si>
    <t>понедельник-пятница 9:00-16:00 суббота и воскресенье: выходной</t>
  </si>
  <si>
    <t>+7 (856) 302 07 52</t>
  </si>
  <si>
    <t>donnu.pk@donnu.ru</t>
  </si>
  <si>
    <t>ДОНЕЦКИЙ ИНСТИТУТ ГОСУДАРСТВЕННОЙ ПРОТИВОПОЖАРНОЙ СЛУЖБЫ МИНИСТЕРСТВА РОССИЙСКОЙ ФЕДЕРАЦИИ ПО ДЕЛАМ ГРАЖДАНСКОЙ ОБОРОНЫ, ЧРЕЗВЫЧАЙНЫМ СИТУАЦИЯМ И ЛИКВИДАЦИИ ПОСЛЕДСТВИЙ СТИХИЙНЫХ БЕДСТВИЙ</t>
  </si>
  <si>
    <t>1229300171374</t>
  </si>
  <si>
    <t>ДОНЕЦК</t>
  </si>
  <si>
    <t>283050, ДОНЕЦК, РОЗЫ ЛЮКСЕМБУРГ, 34А</t>
  </si>
  <si>
    <t>понедельник-пятница: 09:00-16:00 перерыв 12:00-12:48 суббота: 09:00-12:00 воскресенье: выходной</t>
  </si>
  <si>
    <t>8(949)511-65-93 8(856)332-17-17</t>
  </si>
  <si>
    <t>pk@igps.80.mchs.gov.ru</t>
  </si>
  <si>
    <t>Донецкий институт железнодорожного транспорта</t>
  </si>
  <si>
    <t>1229300075212</t>
  </si>
  <si>
    <t>283018, Донецк, Горная, 6</t>
  </si>
  <si>
    <t>понедельник-пятница: 9:00-16:00; суббота: 9:00-15:00; воскресенье: выходной</t>
  </si>
  <si>
    <t>+7(949)453-19-62</t>
  </si>
  <si>
    <t>donirtpk@yandex.ru</t>
  </si>
  <si>
    <t>Донецкий национальный университет экономики и торговли им. М. Туган-Барановского</t>
  </si>
  <si>
    <t>1229300078567</t>
  </si>
  <si>
    <t>283050, Донецк, Щорса, 31</t>
  </si>
  <si>
    <t>понедельник-пятница:: 9:00-16:00 суббота и воскресенье: выходной</t>
  </si>
  <si>
    <t>+7 (949) 608-16-96</t>
  </si>
  <si>
    <t>priyom@donnuet.ru</t>
  </si>
  <si>
    <t>Донецкий физико-технический институт им. А.А. Галкина</t>
  </si>
  <si>
    <t>1229300044049</t>
  </si>
  <si>
    <t>283048, Донецк, Розы Люксембург, 72</t>
  </si>
  <si>
    <t>Понедельник-пятница: 9:30-15:00, перерыв 12:00-13:00, суббота и воскресенье: выходной</t>
  </si>
  <si>
    <t>+7 (856) 311-52-27</t>
  </si>
  <si>
    <t>aspirantura@donfti.ru</t>
  </si>
  <si>
    <t>Донской государственный аграрный университет</t>
  </si>
  <si>
    <t>1026101409630</t>
  </si>
  <si>
    <t>prkomis-dgau@mail.ru</t>
  </si>
  <si>
    <t>Персиановский</t>
  </si>
  <si>
    <t>346493, Персиановский, Кривошлыкова, 24</t>
  </si>
  <si>
    <t>Понедельник - вторник с 8:30 - 17:00 , суббота - воскресенье с 8:30 - 14:00</t>
  </si>
  <si>
    <t>+7(86360) 36-4-49</t>
  </si>
  <si>
    <t>Донской государственный технический университет</t>
  </si>
  <si>
    <t>1026103727847</t>
  </si>
  <si>
    <t>spu-33@donstu.ru</t>
  </si>
  <si>
    <t>344003, Ростов-на-Дону, пл. Гагарина, 1</t>
  </si>
  <si>
    <t>понедельник-пятница: 8:30-17:00 суббота и воскресенье: выходной</t>
  </si>
  <si>
    <t>+7 (863) 306-20-60</t>
  </si>
  <si>
    <t>Дзержинский</t>
  </si>
  <si>
    <t>Еврейский университет</t>
  </si>
  <si>
    <t>1027739131375</t>
  </si>
  <si>
    <t>129346, Москва, Отрадная, 6</t>
  </si>
  <si>
    <t>понедельник-четверг 10-16, пятница 10-12. Суббота и воскресенье выходной</t>
  </si>
  <si>
    <t>84956600770</t>
  </si>
  <si>
    <t>priem@j-univer.ru</t>
  </si>
  <si>
    <t>Европейский университет в Санкт-Петербурге</t>
  </si>
  <si>
    <t>1167800052573</t>
  </si>
  <si>
    <t>191187, Санкт-Петербург, Гагаринская, 6/1</t>
  </si>
  <si>
    <t>понедельник-пятница: 10:00-17:30 суббота и воскресенье: выходной</t>
  </si>
  <si>
    <t>+7 (812) 386-76-46</t>
  </si>
  <si>
    <t>admission@eu.spb.ru</t>
  </si>
  <si>
    <t>Екатеринбургская академия современного искусства (институт)</t>
  </si>
  <si>
    <t>1069673057530</t>
  </si>
  <si>
    <t>priem@eaca.ru</t>
  </si>
  <si>
    <t>620012, Екатеринбург, Культуры, 3</t>
  </si>
  <si>
    <t>Понедельник - пятница с 10:00 до 16:00 Суббота с 10:00 до 14:00</t>
  </si>
  <si>
    <t>+7 343 253 73 17</t>
  </si>
  <si>
    <t>Екатеринбургский государственный театральный институт</t>
  </si>
  <si>
    <t>1036602631966</t>
  </si>
  <si>
    <t>620014, Екатеринбург, Вайнера, 2</t>
  </si>
  <si>
    <t>понедельник-пятница: 10.00-17.00, перерыв 13.00-14.00 суббота и воскресенье: выходной</t>
  </si>
  <si>
    <t>+7 (343) 358-17-29</t>
  </si>
  <si>
    <t>pk.egti@yandex.ru</t>
  </si>
  <si>
    <t>Екатеринбургский медицинский - научный центр профилактики и охраны здоровья рабочих промпредприятий</t>
  </si>
  <si>
    <t>1026602331733</t>
  </si>
  <si>
    <t>tomilova@ymrc.ru</t>
  </si>
  <si>
    <t>620014, Екатеринбург, Попова, 30</t>
  </si>
  <si>
    <t>+7(343)312-87-46</t>
  </si>
  <si>
    <t>Екатеринодарская духовная семинария Екатеринодарской и Кубанской Епархии Русской Православной Церкви</t>
  </si>
  <si>
    <t>1062399000047</t>
  </si>
  <si>
    <t>edskuban@edskuban.ru</t>
  </si>
  <si>
    <t>350000, Краснодар, Фрунзе, 67</t>
  </si>
  <si>
    <t>+78612590438</t>
  </si>
  <si>
    <t>Елецкий государственный университет им. И.А. Бунина</t>
  </si>
  <si>
    <t>1024800789628</t>
  </si>
  <si>
    <t>Липецкая область</t>
  </si>
  <si>
    <t>dwoika@elsu.ru</t>
  </si>
  <si>
    <t>Елец</t>
  </si>
  <si>
    <t>399770, Елец, ул. Коммунаров, 28,1</t>
  </si>
  <si>
    <t>+7(474)676-00-90</t>
  </si>
  <si>
    <t>Ессентукский институт управления, бизнеса и права</t>
  </si>
  <si>
    <t>1022601229331</t>
  </si>
  <si>
    <t>Ессентуки</t>
  </si>
  <si>
    <t>357600, Ессентуки, Ермолова, 2</t>
  </si>
  <si>
    <t>понедельник-пятница: 8:30-17:00, суббота: 10:00-14:00, воскресенье: выходной</t>
  </si>
  <si>
    <t>+78793466229</t>
  </si>
  <si>
    <t>priem-komis@mail.eiubp.ru</t>
  </si>
  <si>
    <t>Забайкальский государственный университет</t>
  </si>
  <si>
    <t>1027501148652</t>
  </si>
  <si>
    <t>Забайкальский край</t>
  </si>
  <si>
    <t>Чита</t>
  </si>
  <si>
    <t>672039, Чита, Александро-Заводская, 30</t>
  </si>
  <si>
    <t>понедельник-пятница: 8:30-17:00 , суббота и воскресенье: выходной</t>
  </si>
  <si>
    <t>7 (3022) 35-16-35</t>
  </si>
  <si>
    <t>postupaivzabgu@mail.ru, abiturient@zabgu.ru</t>
  </si>
  <si>
    <t>Заокский университет Церкви Христиан-Адвентистов Седьмого Дня</t>
  </si>
  <si>
    <t>1027103671605</t>
  </si>
  <si>
    <t>Тульская область</t>
  </si>
  <si>
    <t>Заокский</t>
  </si>
  <si>
    <t>301000, Заокский, Руднева, 43</t>
  </si>
  <si>
    <t>понедельник-четверг: 9.00-17.00 пятница: 9.00-12.00 суббота и воскресенье: выходной</t>
  </si>
  <si>
    <t>Телефон: (48734) 2-01-20</t>
  </si>
  <si>
    <t>E-mail: umo@zau.ru</t>
  </si>
  <si>
    <t>Пермский край</t>
  </si>
  <si>
    <t>Пермь</t>
  </si>
  <si>
    <t>Заполярный государственный университет им. Н.М. Федоровского</t>
  </si>
  <si>
    <t>1022401625542</t>
  </si>
  <si>
    <t>Норильск</t>
  </si>
  <si>
    <t>663310, Норильск, 50 лет Октября, 7</t>
  </si>
  <si>
    <t>понедельник-пятница: 9.00-18.00 суббота: 10.00-14.00 и воскресенье: выходной</t>
  </si>
  <si>
    <t>+7(3919) 38-85-85</t>
  </si>
  <si>
    <t>go@norvuz.ru</t>
  </si>
  <si>
    <t>Зоологический институт Российской академии наук</t>
  </si>
  <si>
    <t>1027800535091</t>
  </si>
  <si>
    <t>ivdoronin@mail.ru</t>
  </si>
  <si>
    <t>ГОРОД САНКТ-ПЕТЕРБУРГ</t>
  </si>
  <si>
    <t>199034, ГОРОД САНКТ-ПЕТЕРБУРГ, НАБЕРЕЖНАЯ УНИВЕРСИТЕТСКАЯ, д 1</t>
  </si>
  <si>
    <t>88123280311</t>
  </si>
  <si>
    <t>Ивановский государственный политехнический университет</t>
  </si>
  <si>
    <t>1133702011222</t>
  </si>
  <si>
    <t>pk@ivgpu.ru</t>
  </si>
  <si>
    <t>153000, Иваново, Шереметевский проспект, 21</t>
  </si>
  <si>
    <t>понедельник-пятница: 9:00-16:00 суббота: 9:00-13:00 воскресенье: выходной</t>
  </si>
  <si>
    <t>+7(4932)41-28-55</t>
  </si>
  <si>
    <t>Ивановский государственный университет</t>
  </si>
  <si>
    <t>1023700548750</t>
  </si>
  <si>
    <t>153025, Иваново, Ермака, 39</t>
  </si>
  <si>
    <t>ФГБОУ ВО "Ивановский государственный университет" (головной вуз): понедельник-пятница: 10:00 - 16:00, суббота и воскресенье: выходной Шуйский филиал ИвГУ: понедельник-пятница: 09:00 - 16:00, суббота и воскресенье: выходной</t>
  </si>
  <si>
    <t>ФГБОУ ВО "Ивановский государственный университет" (головной вуз): 8 (4932) 93-94-78 Шуйский филиал ИвГУ: 8 (49351) 3-10-61</t>
  </si>
  <si>
    <t>ФГБОУ ВО "Ивановский государственный университет" (головной вуз): pk@ivanovo.ac.ru Шуйский филиал ИвГУ: pksgpu@mail.ru</t>
  </si>
  <si>
    <t>Ивановский государственный химико-технологический университет</t>
  </si>
  <si>
    <t>1033700053606</t>
  </si>
  <si>
    <t>pricom@isuct.ru</t>
  </si>
  <si>
    <t>153000, Иваново, проспект Шереметевский, 7</t>
  </si>
  <si>
    <t>понедельник-пятница: 10.00-16.00 суббота и воскресенье: выходной</t>
  </si>
  <si>
    <t>+74932939819</t>
  </si>
  <si>
    <t>Ивановский государственный энергетический университет имени В.И. Ленина</t>
  </si>
  <si>
    <t>1033700074430</t>
  </si>
  <si>
    <t>os_pricom@ispu.ru</t>
  </si>
  <si>
    <t>153003, Иваново, ул. Рабфаковская, 34</t>
  </si>
  <si>
    <t>понедельник-четверг: 9:00-17:00 суббота: 9:00-14:00 воскресенье: выходной</t>
  </si>
  <si>
    <t>8-800-444-59-38</t>
  </si>
  <si>
    <t>Ивановский научно-исследовательский институт материнства и детства имени В.Н. Городкова</t>
  </si>
  <si>
    <t>1033700066168</t>
  </si>
  <si>
    <t>153045, Иваново, ул. Победы, д. 20</t>
  </si>
  <si>
    <t>понедельник-пятница: 9:00-16:00, суббота и воскресенье: выходные</t>
  </si>
  <si>
    <t>+7(4932)33-83-20</t>
  </si>
  <si>
    <t>niimid_priem@mail.ru</t>
  </si>
  <si>
    <t>Ижевский государственный медицинский университет Министерства здравоохранения Российской Федерации</t>
  </si>
  <si>
    <t>1021801168146</t>
  </si>
  <si>
    <t>priem-kom@igma.udm.ru</t>
  </si>
  <si>
    <t>Ижевск</t>
  </si>
  <si>
    <t>426034, Ижевск, Коммунаров, 281</t>
  </si>
  <si>
    <t>Понедельник-пятница: 09:00-15:00, суббота и воскресенье: выходной</t>
  </si>
  <si>
    <t>+73412324033</t>
  </si>
  <si>
    <t>Ижевский государственный технический университет имени М.Т. Калашникова</t>
  </si>
  <si>
    <t>1021801145794</t>
  </si>
  <si>
    <t>426069, Ижевск, Студенческая, 7</t>
  </si>
  <si>
    <t>понедельник-пятница: 9:00-16:00; суббота и воскресенье: выходной</t>
  </si>
  <si>
    <t>8(3412)776262</t>
  </si>
  <si>
    <t>pk@istu.ru</t>
  </si>
  <si>
    <t>Ингушский государственный университет</t>
  </si>
  <si>
    <t>1020600811373</t>
  </si>
  <si>
    <t>Республика Ингушетия</t>
  </si>
  <si>
    <t>Магас</t>
  </si>
  <si>
    <t>386001, Магас, пр. И. Зязикова, 7</t>
  </si>
  <si>
    <t>понедельник - пятница: 9:00-18:00 суббота: 9:00-17:00, воскресенье: выходной</t>
  </si>
  <si>
    <t>8 (918)-814-82-58 8 (960)-435-83-99</t>
  </si>
  <si>
    <t>priem@inggu.ru</t>
  </si>
  <si>
    <t>Ингушский стоматологический институт</t>
  </si>
  <si>
    <t>1220600003800</t>
  </si>
  <si>
    <t>г. Сунжа</t>
  </si>
  <si>
    <t>386201, г. Сунжа, ул Богатырева Бембулата Берсовича, 36</t>
  </si>
  <si>
    <t>понедельник-пятница: 9:00-18:00 суббота: 09:00-13:00 воскресенье: выходной</t>
  </si>
  <si>
    <t>89626378888</t>
  </si>
  <si>
    <t>isivuz@bk.ru</t>
  </si>
  <si>
    <t>Новосибирск</t>
  </si>
  <si>
    <t>Институт автоматики и процессов управления Дальневосточного отделения Российской академии наук</t>
  </si>
  <si>
    <t>1022502127878</t>
  </si>
  <si>
    <t>690041, Владивосток, Радио, 5</t>
  </si>
  <si>
    <t>+7-423-231-06-87</t>
  </si>
  <si>
    <t>ngalk@iacp.dvo.ru; step@iacp.dvo.ru</t>
  </si>
  <si>
    <t>Институт автоматики и электрометрии Сибирского отделения Российской академии наук</t>
  </si>
  <si>
    <t>1025403647807</t>
  </si>
  <si>
    <t>aspirantura@iae.nsk.su</t>
  </si>
  <si>
    <t>630090, Новосибирск, проспект Академика Коптюга, 1</t>
  </si>
  <si>
    <t>8 (383) 336-41-60</t>
  </si>
  <si>
    <t>Институт археологии Крыма РАН</t>
  </si>
  <si>
    <t>1159102130660</t>
  </si>
  <si>
    <t>СИМФЕРОПОЛЬ</t>
  </si>
  <si>
    <t>295007, СИМФЕРОПОЛЬ, ПРОСПЕКТ АКАДЕМИКА ВЕРНАДСКОГО, 2</t>
  </si>
  <si>
    <t>Институт археологии Российской академии наук</t>
  </si>
  <si>
    <t>1027739836728</t>
  </si>
  <si>
    <t>117292, Москва, Дмитрия Ульянова, 19</t>
  </si>
  <si>
    <t>Понедельник - вторник с 12:00 - 19:00 , четверг - пятница с 12:00 - 19:00.суббота, воскресенье: выходной день</t>
  </si>
  <si>
    <t>8 (499) 126-94-19</t>
  </si>
  <si>
    <t>aspirantura@iaran.ru</t>
  </si>
  <si>
    <t>Институт астрономии Российской академии наук</t>
  </si>
  <si>
    <t>1027739803332</t>
  </si>
  <si>
    <t>119017, Москва, Пятницкая, 48</t>
  </si>
  <si>
    <t>+7-495-951-07-30</t>
  </si>
  <si>
    <t>chupina@inasan.ru</t>
  </si>
  <si>
    <t>Институт Африки Российской академии наук</t>
  </si>
  <si>
    <t>1027739892432</t>
  </si>
  <si>
    <t>aspirantura@inafr.ru</t>
  </si>
  <si>
    <t>123001, Москва, Спиридоновка, 30/1</t>
  </si>
  <si>
    <t>вторник-среда: 11:00-17:00 суббота и воскресенье: выходной</t>
  </si>
  <si>
    <t>`+7 (495) 697-19-51</t>
  </si>
  <si>
    <t>Институт белка Российской академии наук</t>
  </si>
  <si>
    <t>1025007773262</t>
  </si>
  <si>
    <t>mbec@protres.ru</t>
  </si>
  <si>
    <t>Пущино</t>
  </si>
  <si>
    <t>142290, Пущино, Институтская, 4</t>
  </si>
  <si>
    <t>понедельник - четверг: 9:00 - 17:30, пятница: 9:00 - 16:30, суббота и воскресенье: выходной</t>
  </si>
  <si>
    <t>8(4967)31-84-47</t>
  </si>
  <si>
    <t>Институт бизнеса и дизайна</t>
  </si>
  <si>
    <t>1137799012042</t>
  </si>
  <si>
    <t>pk@obe.ru</t>
  </si>
  <si>
    <t>129090, Москва, Протопоповский переулок, 9</t>
  </si>
  <si>
    <t>понедельник-пятница: 10:00-18:00, суббота и воскресенье:выходной</t>
  </si>
  <si>
    <t>+7(903)790-01-81</t>
  </si>
  <si>
    <t>Институт Бизнеса и Информационных Систем</t>
  </si>
  <si>
    <t>1213600021700</t>
  </si>
  <si>
    <t>394036, Воронеж, Карла Маркса, 67</t>
  </si>
  <si>
    <t>понедельник-пятница: 9:00-18:00 суббота и воскресенье выходной</t>
  </si>
  <si>
    <t>+7 499 325-59-96</t>
  </si>
  <si>
    <t>pk@ibisedu.ru</t>
  </si>
  <si>
    <t>Ярославская область</t>
  </si>
  <si>
    <t>Институт биологии гена Российской академии наук</t>
  </si>
  <si>
    <t>1027739618037</t>
  </si>
  <si>
    <t>МОСКВА</t>
  </si>
  <si>
    <t>119334, МОСКВА, ВАВИЛОВА, 34/5</t>
  </si>
  <si>
    <t>Понедельник - пятница: 11:00-17:00 суббота и воскресенье: выходной</t>
  </si>
  <si>
    <t>+74991356013</t>
  </si>
  <si>
    <t>info@genebiology.ru</t>
  </si>
  <si>
    <t>Институт биологии развития им. Н.К. Кольцова РАН</t>
  </si>
  <si>
    <t>1027700450800</t>
  </si>
  <si>
    <t>Москвв</t>
  </si>
  <si>
    <t>119334, Москвв, Вавилова, 26</t>
  </si>
  <si>
    <t>Понедельник-Четверг: 10:00-17:30 Пятница: 10:00-16:30 Суббота и Воскресенье: выходной</t>
  </si>
  <si>
    <t>+7-499-135-33-22</t>
  </si>
  <si>
    <t>info@idbras.ru</t>
  </si>
  <si>
    <t>Институт биологических проблем Севера Дальневосточного отделения Российской академии наук</t>
  </si>
  <si>
    <t>1024900960941</t>
  </si>
  <si>
    <t>Магаданская область</t>
  </si>
  <si>
    <t>aspirant@ibpn.ru</t>
  </si>
  <si>
    <t>Магадан</t>
  </si>
  <si>
    <t>685000, Магадан, Портовая, 18</t>
  </si>
  <si>
    <t>понедельник-пятница: 9.00-16.45 суббота-воскресенье: выходной</t>
  </si>
  <si>
    <t>+74132634463</t>
  </si>
  <si>
    <t>Институт биохимической физики им. Н.М. Эмануэля Российской академии наук</t>
  </si>
  <si>
    <t>1037739274308</t>
  </si>
  <si>
    <t>119334, Москва, Косыгина, 4</t>
  </si>
  <si>
    <t>понедельник:12:00-15:00 среда-четверг:12:00-15:00 вторник, пятница, суббота и воскресенье выходной</t>
  </si>
  <si>
    <t>+7(495)939-7455</t>
  </si>
  <si>
    <t>biochemphys.asp@gmail.com</t>
  </si>
  <si>
    <t>Институт водных и экологических проблем Сибирского отделения Российской академии наук</t>
  </si>
  <si>
    <t>1022201765948</t>
  </si>
  <si>
    <t>aspirantura-iwep@yandex.ru</t>
  </si>
  <si>
    <t>656038, Барнаул, Молодежная, 1</t>
  </si>
  <si>
    <t>понедельник-четверг: 8:30-17:45; пятница: 8:30-16:30; суббота и воскресенье: выходной</t>
  </si>
  <si>
    <t>+7 (385-2) 666-507</t>
  </si>
  <si>
    <t>Институт водных проблем Российской академии наук</t>
  </si>
  <si>
    <t>1027739512305</t>
  </si>
  <si>
    <t>aspirantura@iwp.ru</t>
  </si>
  <si>
    <t>119333, Москва, Губкина, 3</t>
  </si>
  <si>
    <t>понедельник-вторник: 13:00-18:00, четверг 13:00 -18:00</t>
  </si>
  <si>
    <t>8(499)135-73-80</t>
  </si>
  <si>
    <t>Институт востоковедения Российской академии наук</t>
  </si>
  <si>
    <t>1037739314084</t>
  </si>
  <si>
    <t>asp@ivran.ru</t>
  </si>
  <si>
    <t>107031, Москва, Рождественка, 12</t>
  </si>
  <si>
    <t>понедельник-пятница: 11:00-17:30 суббота и воскресенье выходной: выходной</t>
  </si>
  <si>
    <t>+7(495)132-73-53 (доб.1300 и 1311)</t>
  </si>
  <si>
    <t>Институт восточных рукописей Российской академии наук</t>
  </si>
  <si>
    <t>1097746036794</t>
  </si>
  <si>
    <t>191186, Санкт-Петербург, Дворцовая набережная, 18</t>
  </si>
  <si>
    <t>Понедельник-пятница: 16:00-18:00, суббота и воскресенье: выходной</t>
  </si>
  <si>
    <t>+7 (812) 315-8728</t>
  </si>
  <si>
    <t>aspirantura@orientalstudies.ru</t>
  </si>
  <si>
    <t>Институт всеобщей истории Российской академии наук</t>
  </si>
  <si>
    <t>1037739306880</t>
  </si>
  <si>
    <t>aspirantura@igh.ru</t>
  </si>
  <si>
    <t>119334, Москва, Ленинский пр-т, 32</t>
  </si>
  <si>
    <t>понедельник, среда с 11.00 до 17.00</t>
  </si>
  <si>
    <t>8 495 954 45 35 8 495 938 13 44</t>
  </si>
  <si>
    <t>Институт высокотемпературной электрохимии Уральского отделения Российской академии наук</t>
  </si>
  <si>
    <t>1026604945531</t>
  </si>
  <si>
    <t>tatyana_v@ihte.ru</t>
  </si>
  <si>
    <t>620066, Екатеринбург, Академическая, 20</t>
  </si>
  <si>
    <t>понедельник - четверг: 09:00-16:00, пятница: 09:00-15:00, суббота и воскресенье: выходной</t>
  </si>
  <si>
    <t>+7(343)360-30-99</t>
  </si>
  <si>
    <t>Институт высшей нервной деятельности и нейрофизиологии Российской академии наук</t>
  </si>
  <si>
    <t>1027739030593</t>
  </si>
  <si>
    <t>natpas@mail.ru</t>
  </si>
  <si>
    <t>117485, Москва, ул. Бутлерова, 5А</t>
  </si>
  <si>
    <t>понедельник-четверг: 10.00-17.00 пятница: 10.00-15.00</t>
  </si>
  <si>
    <t>+74953347000</t>
  </si>
  <si>
    <t>Институт вычислительной математики и математической геофизики Сибирского отделения Российской академии наук</t>
  </si>
  <si>
    <t>1025403656420</t>
  </si>
  <si>
    <t>aspirantura@sscc.ru</t>
  </si>
  <si>
    <t>630090, Новосибирск, проспект Академика Лаврентьева, 6</t>
  </si>
  <si>
    <t>понедельник-четверг: 9.00-17.30 пятница: 9.00-16.30 суббота и воскресенье: выходной</t>
  </si>
  <si>
    <t>+7(383)330-63-40</t>
  </si>
  <si>
    <t>Институт вычислительной математики им. Г.И. Марчука Российской академии наук</t>
  </si>
  <si>
    <t>1027700542363</t>
  </si>
  <si>
    <t>119333, Москва, Губкина, 8</t>
  </si>
  <si>
    <t>понедельник-пятница: 11:00-16:00, суббота и воскресение:выходной</t>
  </si>
  <si>
    <t>(495) 984-81-20 доб.35-07 или 39-14</t>
  </si>
  <si>
    <t>DobroserdovaTK@gmail.com</t>
  </si>
  <si>
    <t>Институт географии им. В.Б. Сочавы Сибирского отделения Российской академии наук</t>
  </si>
  <si>
    <t>1023801757220</t>
  </si>
  <si>
    <t>664033, Иркутск, Улан-Баторская, 1</t>
  </si>
  <si>
    <t>понедельник-четверг: 10:00 до 17.00 пятница 10:00 до 14:00 суббота и воскресенье: выходной</t>
  </si>
  <si>
    <t>+7 3952 422717</t>
  </si>
  <si>
    <t>postman@irigs.irk.ru</t>
  </si>
  <si>
    <t>Институт географии Российской академии наук</t>
  </si>
  <si>
    <t>1027739639817</t>
  </si>
  <si>
    <t>8-495-959-37-25</t>
  </si>
  <si>
    <t>aspirantura@igras.ru</t>
  </si>
  <si>
    <t>119017, Москва, Старомонетный переулок, 29</t>
  </si>
  <si>
    <t>вторник, четверг 12:00 - 17:00</t>
  </si>
  <si>
    <t>Институт геологии и геохимии им. академика А.Н. Заварицкого Уральского отделения Российской академии наук</t>
  </si>
  <si>
    <t>1026604966409</t>
  </si>
  <si>
    <t>osipova@igg.uran.ru</t>
  </si>
  <si>
    <t>620110, Екатеринбург, Академика Вонсовского, 15</t>
  </si>
  <si>
    <t>понедельник-пятница: с 13-00 до 18-00; суббота и воскресенье: выходной</t>
  </si>
  <si>
    <t>8 (343) 287-90-47</t>
  </si>
  <si>
    <t>Институт геологии и минералогии им. В.С. Соболева Сибирского отделения Российской академии наук</t>
  </si>
  <si>
    <t>1065473055713</t>
  </si>
  <si>
    <t>630090, Новосибирск, Проспект Академика Коптюга, 3</t>
  </si>
  <si>
    <t>+7 (383) 373-05-26</t>
  </si>
  <si>
    <t>education@igm.nsc.ru</t>
  </si>
  <si>
    <t>Институт геологии рудных месторождений, петрографии, минералогии и геохимии Российской академии наук</t>
  </si>
  <si>
    <t>1027739282812</t>
  </si>
  <si>
    <t>119017, Москва, Старомонетный переулок, 35</t>
  </si>
  <si>
    <t>понедельник-пятница 12:00-18:00</t>
  </si>
  <si>
    <t>8-965-282-51-71</t>
  </si>
  <si>
    <t>aspirantura@igem.ru</t>
  </si>
  <si>
    <t>Институт геофизики им. Ю.П. Булашевича Уральского отделения Российской академии наук</t>
  </si>
  <si>
    <t>1036603981919</t>
  </si>
  <si>
    <t>620016, Екатеринбург, Амундсена, 100</t>
  </si>
  <si>
    <t>+7(343)267-88-68</t>
  </si>
  <si>
    <t>igfuroran@mail.ru</t>
  </si>
  <si>
    <t>Институт геохимии им. А.П. Виноградова Сибирского отделения Российской академии наук</t>
  </si>
  <si>
    <t>1023801760564</t>
  </si>
  <si>
    <t>664033, Иркутск, Фаворского, 1А</t>
  </si>
  <si>
    <t>+7(3952)54-64-24</t>
  </si>
  <si>
    <t>alshal@igc.irk.ru</t>
  </si>
  <si>
    <t>Институт гидродинамики им. М.А. Лаврентьева Сибирского отделения Российской академии наук</t>
  </si>
  <si>
    <t>1025403648600</t>
  </si>
  <si>
    <t>aspirantura@hydro.nsc.ru</t>
  </si>
  <si>
    <t>630090, Новосибирск, проспект академика Лаврентьева, 15</t>
  </si>
  <si>
    <t>понедельник-четверг: 10:00-12.00, 15.00-17.00</t>
  </si>
  <si>
    <t>+7 (383) 333-21-49</t>
  </si>
  <si>
    <t>Институт горного дела им. Н.А. Чинакала Сибирского отделения Российской академии наук</t>
  </si>
  <si>
    <t>1035402457683</t>
  </si>
  <si>
    <t>ГОРОД НОВОСИБИРСК</t>
  </si>
  <si>
    <t>630091, ГОРОД НОВОСИБИРСК, КРАСНЫЙ ПРОСПЕКТ, д 54</t>
  </si>
  <si>
    <t>понедельник 14-16; вторник-четверг 9-11, 14-16; пятница 9-11</t>
  </si>
  <si>
    <t>+7(383)205-30-30</t>
  </si>
  <si>
    <t>aspirant_igd@misd.ru</t>
  </si>
  <si>
    <t>Институт горного дела Уральского отделения Российской академии наук</t>
  </si>
  <si>
    <t>1026604961349</t>
  </si>
  <si>
    <t>aspirant@igduran.ru</t>
  </si>
  <si>
    <t>620075, Екатеринбург, Мамина-Сибиряка, 58</t>
  </si>
  <si>
    <t>вторник 10:00-14:00, четверг 10:00 - 14:00</t>
  </si>
  <si>
    <t>(343)3505035</t>
  </si>
  <si>
    <t>Институт государства и права Российской академии наук</t>
  </si>
  <si>
    <t>1037739085856</t>
  </si>
  <si>
    <t>asp@igpran.ru</t>
  </si>
  <si>
    <t>119019, Москва, Знаменка, 10</t>
  </si>
  <si>
    <t>понедельник-пятница: 10:00-17:00 суббота и воскресенье: выходной</t>
  </si>
  <si>
    <t>874956914538</t>
  </si>
  <si>
    <t>Институт государственного администрирования</t>
  </si>
  <si>
    <t>1027700529911</t>
  </si>
  <si>
    <t>119261, Москва, г.Москва, Ленинский проспект д.80, г.Москва, Ленинский проспект д.80</t>
  </si>
  <si>
    <t>+7(499)131-99-79</t>
  </si>
  <si>
    <t>priem_iga@mail.ru</t>
  </si>
  <si>
    <t>Институт гуманитарного образования и информационных технологий</t>
  </si>
  <si>
    <t>1157700014075</t>
  </si>
  <si>
    <t>105264, Москва, Верхняя Первомайская, 53</t>
  </si>
  <si>
    <t>Понедельник-пятница: 10.00 - 18.00 Суббота: 11.00 - 16.00</t>
  </si>
  <si>
    <t>+74959650050</t>
  </si>
  <si>
    <t>priem-igumo@igumo.ru</t>
  </si>
  <si>
    <t>Институт деловой карьеры</t>
  </si>
  <si>
    <t>1027700350413</t>
  </si>
  <si>
    <t>ideka@ideka.ru</t>
  </si>
  <si>
    <t>111024, Москва, Авиамоторная, 50</t>
  </si>
  <si>
    <t>понедельник-пятница: 10:00-18:00 суббота и воскресенье: выходной</t>
  </si>
  <si>
    <t>8 (800) 775-83-20</t>
  </si>
  <si>
    <t>Институт динамики геосфер имени академика М.А. Садовского Российской академии наук</t>
  </si>
  <si>
    <t>1027700089152</t>
  </si>
  <si>
    <t>119334, Москва, Ленинский проспект, 38</t>
  </si>
  <si>
    <t>понедельник- пятница: 12:00-16:00,суббота, воскресенье: выходной</t>
  </si>
  <si>
    <t>8-499-137-66-11</t>
  </si>
  <si>
    <t>Данилова Татьяна Валерьевна</t>
  </si>
  <si>
    <t>Институт динамики систем и теории управления имени В.М. Матросова Сибирского отделения Российской академии наук</t>
  </si>
  <si>
    <t>1023801757000</t>
  </si>
  <si>
    <t>aspirantura@icc.ru</t>
  </si>
  <si>
    <t>664033, Иркутск, Лермонтова, 134</t>
  </si>
  <si>
    <t>Понедельник-пятница: 10:00-18:00, суббота и воскресенье: выходной</t>
  </si>
  <si>
    <t>+7 (3952) 45-30-67</t>
  </si>
  <si>
    <t>Институт дружбы народов Кавказа</t>
  </si>
  <si>
    <t>1022601953131</t>
  </si>
  <si>
    <t>355008, Ставрополь, Проспект Карла-Маркса, 7</t>
  </si>
  <si>
    <t>Понедельник-пятница: 9:00 - 17.30 Суббота: 9:00 - 16:30 Воскресенье: выходной</t>
  </si>
  <si>
    <t>8 (8652) 28-25-00</t>
  </si>
  <si>
    <t>priem@idnk.ru</t>
  </si>
  <si>
    <t>Институт Европы Российской академии наук</t>
  </si>
  <si>
    <t>1027739512888</t>
  </si>
  <si>
    <t>ieras@mail.ru</t>
  </si>
  <si>
    <t>понедельник, среда: 12:00-18:00 пятница: 12:00-16:00 вторник, четверг, суббота и воскресенье: выходной</t>
  </si>
  <si>
    <t>+79859093770</t>
  </si>
  <si>
    <t>Институт законодательства и сравнительного правоведения при Правительстве РФ</t>
  </si>
  <si>
    <t>1037700171288</t>
  </si>
  <si>
    <t>117218, Москва, Б. Черемушкинская, 34</t>
  </si>
  <si>
    <t>Понедельник-четверг: 9:30-17:30 пятница: 9:30-16:30 суббота и воскресенье: выходной</t>
  </si>
  <si>
    <t>+7(495)627-04-26</t>
  </si>
  <si>
    <t>magistr@izak.ru</t>
  </si>
  <si>
    <t>Институт земного магнетизма, ионосферы и распространения радиоволн им. Н.В. Пушкова Российской академии наук</t>
  </si>
  <si>
    <t>1035009350375</t>
  </si>
  <si>
    <t>г.Троицк</t>
  </si>
  <si>
    <t>108840, г.Троицк, Калужское шоссе, 4</t>
  </si>
  <si>
    <t>понедельник-четверг: 9:00-17:00 пятница: 9:00-16:0 суббота и воскресенье: выходной</t>
  </si>
  <si>
    <t>+7 (495) 851-01-20</t>
  </si>
  <si>
    <t>izmiran@izmiran.ru</t>
  </si>
  <si>
    <t>Институт земной коры Сибирского отделения Российской академии наук</t>
  </si>
  <si>
    <t>1023801757320</t>
  </si>
  <si>
    <t>aspirant@crust.irk.ru</t>
  </si>
  <si>
    <t>664033, Иркутск, Лермонтова, 128</t>
  </si>
  <si>
    <t>понедельник-четверг: 9:00-17:00, пятница: 9:00-12:00, суббота и воскресенье: выходной</t>
  </si>
  <si>
    <t>+7(3952)42-70-00</t>
  </si>
  <si>
    <t>Институт иммунологии и физиологии Уральского отделения Российской академии наук</t>
  </si>
  <si>
    <t>1036603517994</t>
  </si>
  <si>
    <t>artashyan@inbox.ru</t>
  </si>
  <si>
    <t>620049, Екатеринбург, Первомайская, 106</t>
  </si>
  <si>
    <t>(343) 374-08-39 (доб. 129)</t>
  </si>
  <si>
    <t>Институт иностранных языков</t>
  </si>
  <si>
    <t>1027809186503</t>
  </si>
  <si>
    <t>199178, Санкт-Петербург, 12 линия, 13</t>
  </si>
  <si>
    <t>понедельник-пятница: 11:00-17:00 суббота и воскресенье: выходной</t>
  </si>
  <si>
    <t>+79319570101</t>
  </si>
  <si>
    <t>priem@ifl.ru</t>
  </si>
  <si>
    <t>Институт истории естествознания и техники им. С.И. Вавилова Российской академии наук</t>
  </si>
  <si>
    <t>1027739720623</t>
  </si>
  <si>
    <t>125315, Москва, Балтийская, 14</t>
  </si>
  <si>
    <t>понедельник-четверг: 11:00-17:00, пятница: 11:00-16:00, суббота и воскресенье: выходной</t>
  </si>
  <si>
    <t>+7(926)8702327 +7(812)3284712</t>
  </si>
  <si>
    <t>asp@ihst.ru asp@ihst.nw.ru</t>
  </si>
  <si>
    <t>Институт истории и археологии Уральского отделения Российской академии наук</t>
  </si>
  <si>
    <t>1036604404077</t>
  </si>
  <si>
    <t>uran_dissovet@mail.ru</t>
  </si>
  <si>
    <t>620990, Екатеринбург, Софьи Ковалевской, 16</t>
  </si>
  <si>
    <t>Понедельник, среда, пятница с 12.00 ч. до 18.00 ч. по местному времени</t>
  </si>
  <si>
    <t>982-658-22-98</t>
  </si>
  <si>
    <t>Институт истории материальной культуры Российской академии наук</t>
  </si>
  <si>
    <t>1027809188527</t>
  </si>
  <si>
    <t>aspirantura@archeo.ru</t>
  </si>
  <si>
    <t>понедельник-пятница: 11:00 - 13:00, 14:00 - 16:00</t>
  </si>
  <si>
    <t>+7(921)876-83-25</t>
  </si>
  <si>
    <t>Институт истории Сибирского отделения Российской академии наук</t>
  </si>
  <si>
    <t>1025403648820</t>
  </si>
  <si>
    <t>630090, Новосибирск, Николаева, 8</t>
  </si>
  <si>
    <t>Понедельник-четверг: 9:00-17:30, пятница: 9:00-16:30, суббота, воскресенье: выходной.</t>
  </si>
  <si>
    <t>8(383) 363-01-05</t>
  </si>
  <si>
    <t>director@history.nsc.ru</t>
  </si>
  <si>
    <t>Институт истории, археологии и этнографии народов Дальнего Востока Дальневосточного отделения Российской академии наук</t>
  </si>
  <si>
    <t>1032501282890</t>
  </si>
  <si>
    <t>aspirantura_ihaefe@mail.ru</t>
  </si>
  <si>
    <t>690001, Владивосток, Пушкинская, 89</t>
  </si>
  <si>
    <t>Понедельник-пятница: 10.00-16.00, суббота и воскресенье: выходной</t>
  </si>
  <si>
    <t>8(423)222-05-07</t>
  </si>
  <si>
    <t>Институт кино и телевидения (ГИТР)</t>
  </si>
  <si>
    <t>1167700069228</t>
  </si>
  <si>
    <t>123007, Москва, Хорошевское шоссе, 32А</t>
  </si>
  <si>
    <t>понедельник-суббота: с 10.00-18.00, воскресенье: выходной</t>
  </si>
  <si>
    <t>+7(495) 787 – 68 – 15</t>
  </si>
  <si>
    <t>mail@gitr.ru</t>
  </si>
  <si>
    <t>Институт Китая и современной Азии Российской академии наук</t>
  </si>
  <si>
    <t>1037739128613</t>
  </si>
  <si>
    <t>aspirantura@iccaras.ru</t>
  </si>
  <si>
    <t>117997, Москва, Нахимовский проспект, 32</t>
  </si>
  <si>
    <t>8(499) 124-04-26</t>
  </si>
  <si>
    <t>Институт комплексного анализа региональных проблем Дальневосточного отделения Российской академии наук</t>
  </si>
  <si>
    <t>1027900509900</t>
  </si>
  <si>
    <t>Еврейская автономная область</t>
  </si>
  <si>
    <t>carpi@yandex.ru</t>
  </si>
  <si>
    <t>Биробиджан</t>
  </si>
  <si>
    <t>679016, Биробиджан, Шолом-Алейхема, 4</t>
  </si>
  <si>
    <t>8(42622)20539</t>
  </si>
  <si>
    <t>Институт конструкторско-технологической информатики Российской академии наук</t>
  </si>
  <si>
    <t>1027739501756</t>
  </si>
  <si>
    <t>127055, Москва, Вадковский переулок, 18</t>
  </si>
  <si>
    <t>понедельник-четверг: 11:30-17:00 пятница: 12:00-15:30 суббота и воскресенье: выходной</t>
  </si>
  <si>
    <t>+7 4999789962</t>
  </si>
  <si>
    <t>asp@ikti.ru</t>
  </si>
  <si>
    <t>Институт коррекционной педагогики Российской академии образования</t>
  </si>
  <si>
    <t>1027739381757</t>
  </si>
  <si>
    <t>8(499)245-04-52</t>
  </si>
  <si>
    <t>asp@ikp.email</t>
  </si>
  <si>
    <t>119121, Москва, Погодинская, 8</t>
  </si>
  <si>
    <t>Понедельник - пятница: 9:00-18:00; обед 13:00-14:00; суббота и воскресенье: выходной.</t>
  </si>
  <si>
    <t>Институт космических исследований Российской академии наук</t>
  </si>
  <si>
    <t>1027739475279</t>
  </si>
  <si>
    <t>aspirantura@cosmos.ru</t>
  </si>
  <si>
    <t>117997, Москва, Профсоюзная, 84/32</t>
  </si>
  <si>
    <t>(495)333-20-78</t>
  </si>
  <si>
    <t>Институт лазерной физики Сибирского отделения Российской академии наук</t>
  </si>
  <si>
    <t>1025403665572</t>
  </si>
  <si>
    <t>majorova_aa@laser.nsc.ru</t>
  </si>
  <si>
    <t>630090, Новосибирск, проспект Лаврентьева, 15Б</t>
  </si>
  <si>
    <t>8-383-330-62-24</t>
  </si>
  <si>
    <t>Институт Латинской Америки Российской академии наук</t>
  </si>
  <si>
    <t>1027739800582</t>
  </si>
  <si>
    <t>115035, Москва, Большая Ордынка, 21</t>
  </si>
  <si>
    <t>вторник: 12:00-18:00 четверг: 12:00-18:00</t>
  </si>
  <si>
    <t>+7 (495) 951-43-02</t>
  </si>
  <si>
    <t>aspirantura-ila@yandex.ru</t>
  </si>
  <si>
    <t>Институт лесоведения Российской академии наук</t>
  </si>
  <si>
    <t>1025004062489</t>
  </si>
  <si>
    <t>root@ilan.ras.ru</t>
  </si>
  <si>
    <t>Успенское</t>
  </si>
  <si>
    <t>143030, Успенское, Советская, 21</t>
  </si>
  <si>
    <t>Понедельник - четверг: 9:00 - 17:00; пятница: 9:00 - 16:00; суббота и воскресенье: выходной</t>
  </si>
  <si>
    <t>8 (495) 634-52-57</t>
  </si>
  <si>
    <t>Институт лингвистических исследований Российской Академии наук</t>
  </si>
  <si>
    <t>1027800554913</t>
  </si>
  <si>
    <t>199053, Санкт-Петербург, переулок Тучков, 9</t>
  </si>
  <si>
    <t>8(812)3284611</t>
  </si>
  <si>
    <t>aspirantura-ili@yandex.ru</t>
  </si>
  <si>
    <t>Институт математики и механики им. Н.Н. Красовского Уральского отделения Российской академии наук</t>
  </si>
  <si>
    <t>1026604965177</t>
  </si>
  <si>
    <t>sez@imm.uran.ru</t>
  </si>
  <si>
    <t>понедельник-четверг:10:00-16:00, пятница: 10:00-15:00, перерыв: 12:00-13:00, суббота и воскресенье:выходной</t>
  </si>
  <si>
    <t>8(343)375-34-58</t>
  </si>
  <si>
    <t>Институт математики им. С. Л. Соболева Сибирского отделения Российской академии наук</t>
  </si>
  <si>
    <t>1025403656508</t>
  </si>
  <si>
    <t>s.l.lebedeva@math.nsc.ru</t>
  </si>
  <si>
    <t>630090, Новосибирск, проспект Академика Коптюга, 4</t>
  </si>
  <si>
    <t>понедельник-четверг: 9:00-17:30, пятница: 9:00-16:30, перерыв: с 12:30 до 13:20 (по времени Новосибирска), суббота и воскресенье: выходной</t>
  </si>
  <si>
    <t>+7 (383) 329-76-22</t>
  </si>
  <si>
    <t>Институт машиноведения им. А.А. Благонравова Российской академии наук</t>
  </si>
  <si>
    <t>1037700067492</t>
  </si>
  <si>
    <t>yafizovara@imash.ru</t>
  </si>
  <si>
    <t>101990, Москва, Малый Харитоньевский переулок, 4</t>
  </si>
  <si>
    <t>понедельник -пятница: 9.00- 18.00, суббота и воскресенье : выходной</t>
  </si>
  <si>
    <t>+7 (495) 6240028</t>
  </si>
  <si>
    <t>Институт машиноведения имени Э.С. Горкунова Уральского отделения Российской академии наук</t>
  </si>
  <si>
    <t>1036603482992</t>
  </si>
  <si>
    <t>8(343)3788903</t>
  </si>
  <si>
    <t>620049, Екатеринбург, ул. Комсомольская, 34</t>
  </si>
  <si>
    <t>понедельник-четверг: 10:00-15:00 пятница: 10:00-14.00 суббота и воскресенье: выходной</t>
  </si>
  <si>
    <t>tuevaevgenya@mail.ru</t>
  </si>
  <si>
    <t>Институт международных связей</t>
  </si>
  <si>
    <t>1026604969093</t>
  </si>
  <si>
    <t>620144, Екатеринбург, Отто Шмидта, 58</t>
  </si>
  <si>
    <t>понедельник-четверг: 10:00-17.00 пятница: 10:00-16.00 суббота и воскресенье: выходной</t>
  </si>
  <si>
    <t>8(343) 210-53-44, +7 (912) 6 999 503</t>
  </si>
  <si>
    <t>priem@ims-ural.ru</t>
  </si>
  <si>
    <t>Институт международных экономических связей</t>
  </si>
  <si>
    <t>1167700056952</t>
  </si>
  <si>
    <t>119330, Москва, Мосфильмовская, 35</t>
  </si>
  <si>
    <t>Понедельник-четверг: 10:00-18:00 пятница: 10:00-17:00 суббота: 10:00-15:00, воскресенье: выходной</t>
  </si>
  <si>
    <t>8 (499) 348 20 00</t>
  </si>
  <si>
    <t>priem@imes.su</t>
  </si>
  <si>
    <t>Институт мерзлотоведения им. П.И. Мельникова Сибирского отделения Российской академии наук</t>
  </si>
  <si>
    <t>1021401046336</t>
  </si>
  <si>
    <t>dmv_1585@mail.ru</t>
  </si>
  <si>
    <t>677010, Якутск, Мерзлотная, 36</t>
  </si>
  <si>
    <t>+74112390814</t>
  </si>
  <si>
    <t>Институт металлоорганической химии им. Г.А. Разуваева Российской академии наук</t>
  </si>
  <si>
    <t>1025203569599</t>
  </si>
  <si>
    <t>603137, Нижний Новгород, Тропинина, 49</t>
  </si>
  <si>
    <t>понедельник-пятница: 9:00-16:30, суббота и воскресенье: выходной</t>
  </si>
  <si>
    <t>88314627709</t>
  </si>
  <si>
    <t>office@iomc.ras.ru</t>
  </si>
  <si>
    <t>Институт металлургии и материаловедения им. А.А. Байкова Российской академии наук</t>
  </si>
  <si>
    <t>1027700298702</t>
  </si>
  <si>
    <t>8 (499) 135-44-91</t>
  </si>
  <si>
    <t>119334, Москва, Ленинский проспект, 49</t>
  </si>
  <si>
    <t>Понедельник-четверг: 10:45-17:30 пятница 10:45-16:30 суббота и воскресенье: выходной</t>
  </si>
  <si>
    <t>priemdoc@imet.ac.ru</t>
  </si>
  <si>
    <t>Институт металлургии имени академика Н.А. Ватолина Уральского отделения Российской академии наук</t>
  </si>
  <si>
    <t>1026605246766</t>
  </si>
  <si>
    <t>620016, Екатеринбург, Амундсена, 101</t>
  </si>
  <si>
    <t>Понедельник-пятница: 10:00-16:00. Суббота и воскресенье: выходной.</t>
  </si>
  <si>
    <t>+7(343)232-90-56, +7(343)232-91-05</t>
  </si>
  <si>
    <t>l.rigmant@yandex.ru, p.kotenkoff@yandex.ru</t>
  </si>
  <si>
    <t>Институт мировой литературы им. А.М. Горького Российской академии наук</t>
  </si>
  <si>
    <t>1037739214270</t>
  </si>
  <si>
    <t>121069, Москва, Поварская, 25А</t>
  </si>
  <si>
    <t>понедельник-четверг: 11:00-17:00 пятница-воскресенье: выходной</t>
  </si>
  <si>
    <t>+7(495)695-94-33; +7(495)691-23-01</t>
  </si>
  <si>
    <t>asp.imli@yandex.ru</t>
  </si>
  <si>
    <t>Институт мировой экономики</t>
  </si>
  <si>
    <t>1020502003202</t>
  </si>
  <si>
    <t>368608, Дербент, Буйнакского, 61</t>
  </si>
  <si>
    <t>понедельник-четверг: 9:00-16:00 суббота и воскресенье: выходной</t>
  </si>
  <si>
    <t>+78724040561</t>
  </si>
  <si>
    <t>ime@imeder.ru</t>
  </si>
  <si>
    <t>Институт мозга человека им. Н.П. Бехтеревой Российской академии наук</t>
  </si>
  <si>
    <t>1037828026587</t>
  </si>
  <si>
    <t>197376, Санкт-Петербург, академика Павлова, 9</t>
  </si>
  <si>
    <t>понедельник - четверг с с 10.00 до 12.30; с 14.30 до 17.00 по московскому времени, пятница с 10.00 до 12.30; с 14.30 до 16.00 по московскому времени, суббота и воскресенье: выходной</t>
  </si>
  <si>
    <t>8(812) 670-09-24</t>
  </si>
  <si>
    <t>oop@ihb.spb.ru</t>
  </si>
  <si>
    <t>Институт молекулярной биологии им. В.А. Энгельгардта Российской академии наук</t>
  </si>
  <si>
    <t>1037736018066</t>
  </si>
  <si>
    <t>8-499-135-98-05</t>
  </si>
  <si>
    <t>rudenko@eimb.ru</t>
  </si>
  <si>
    <t>119991, Москва, Вавилова, 32</t>
  </si>
  <si>
    <t>понедельник-четверг: 15:00 - 18:00</t>
  </si>
  <si>
    <t>Институт молекулярной и клеточной биологии Сибирского отделения Российской академии наук</t>
  </si>
  <si>
    <t>1115476157070</t>
  </si>
  <si>
    <t>630090, Новосибирск, просп. акад. Лаврентьева, 8/2</t>
  </si>
  <si>
    <t>нет</t>
  </si>
  <si>
    <t>Институт монголоведения, буддологии и тибетологии Сибирского отделения Российской академии наук</t>
  </si>
  <si>
    <t>1020300902368</t>
  </si>
  <si>
    <t>asp@imbt.ru</t>
  </si>
  <si>
    <t>670047, Улан-Удэ, Сахьяновой, 6</t>
  </si>
  <si>
    <t>8(3012)43-35-51</t>
  </si>
  <si>
    <t>Институт мониторинга климатических и экологических систем Сибирского отделения Российской академии наук</t>
  </si>
  <si>
    <t>1027000880170</t>
  </si>
  <si>
    <t>Томская область</t>
  </si>
  <si>
    <t>Томск</t>
  </si>
  <si>
    <t>634055, Томск, проспект Академический, 10/3</t>
  </si>
  <si>
    <t>понедельник - четверг: 10.00-17.00 пятница 10.00-16.00 суббота, воскресенье: выходной</t>
  </si>
  <si>
    <t>+73822492032</t>
  </si>
  <si>
    <t>olga-nevidimova@mail.ru</t>
  </si>
  <si>
    <t>Институт морской геологии и геофизики Дальневосточного отделения Российской академии наук</t>
  </si>
  <si>
    <t>1026500545389</t>
  </si>
  <si>
    <t>Сахалинская область</t>
  </si>
  <si>
    <t>Южно-Сахалинск</t>
  </si>
  <si>
    <t>693022, Южно-Сахалинск, Науки, 1 Б</t>
  </si>
  <si>
    <t>Понедельник-четверг:11:00-14:00 пятница:10:00-12:00 суббота и воскресенье-выходной</t>
  </si>
  <si>
    <t>8(4242)79-15-17</t>
  </si>
  <si>
    <t>m.andreeva@imgg.ru</t>
  </si>
  <si>
    <t>Институт нанотехнологий микроэлектроники Российской академии наук</t>
  </si>
  <si>
    <t>1067758649375</t>
  </si>
  <si>
    <t>119991, МОСКВА, ПРОСПЕКТ ЛЕНИНСКИЙ, д 32а</t>
  </si>
  <si>
    <t>Отсутствует</t>
  </si>
  <si>
    <t>Институт народнохозяйственного прогнозирования Российской академии наук</t>
  </si>
  <si>
    <t>1027739465643</t>
  </si>
  <si>
    <t>117418, Москва, Нахимовский проспект, 47</t>
  </si>
  <si>
    <t>ИНП РАН не имеет постоянно действующей приемной комиссии. Контрольных цифр приема ИНП РАН не имеет. Актуальность взаимодействия с Суперсервисом на рассмотрении.</t>
  </si>
  <si>
    <t>Институт научной информации по общественным наукам Российской академии наук</t>
  </si>
  <si>
    <t>1027739328737</t>
  </si>
  <si>
    <t>117418, Москва, Нахимовский проспект, 51/21</t>
  </si>
  <si>
    <t>понедельник-пятница 10.00-17.00, суббота и воскресенье: выходной</t>
  </si>
  <si>
    <t>+7 (993) 258-68-70</t>
  </si>
  <si>
    <t>aspirantura@inion.ru</t>
  </si>
  <si>
    <t>Институт неорганической химии им. А.В. Николаева Сибирского отделения Российской академии наук</t>
  </si>
  <si>
    <t>1025403651481</t>
  </si>
  <si>
    <t>aspirantura@niic.nsc.ru</t>
  </si>
  <si>
    <t>630090, Новосибирск, Проспект Академика Лаврентьева, 3</t>
  </si>
  <si>
    <t>8 (383)330 92 56</t>
  </si>
  <si>
    <t>Институт непрерывного образования</t>
  </si>
  <si>
    <t>1167700052233</t>
  </si>
  <si>
    <t>ino@icone.ru</t>
  </si>
  <si>
    <t>109542, Москва, Рязанский проспект, 86/1</t>
  </si>
  <si>
    <t>понедельник-пятница: 10:00-18:00 суббота и воскресенье:выходной</t>
  </si>
  <si>
    <t>+79267488000</t>
  </si>
  <si>
    <t>Институт нефтегазовой геологии и геофизики им. А.А. Трофимука Сибирского отделения Российской академии наук</t>
  </si>
  <si>
    <t>1065473056670</t>
  </si>
  <si>
    <t>Levichevaav@ipgg.sbras.ru</t>
  </si>
  <si>
    <t>630090, Новосибирск, проспект Академика Коптюга, 3</t>
  </si>
  <si>
    <t>(383) 330 87 33</t>
  </si>
  <si>
    <t>Институт общей генетики им. Н.И. Вавилова Российской академии наук</t>
  </si>
  <si>
    <t>1037739549748</t>
  </si>
  <si>
    <t>119991, Москва, Губкина, 3</t>
  </si>
  <si>
    <t>понедельник-четверг: 10:00-17:00 пятница: 10:00-16:30 суббота и воскресенье: выходной</t>
  </si>
  <si>
    <t>+74991356213</t>
  </si>
  <si>
    <t>aspirantura@vigg.ru</t>
  </si>
  <si>
    <t>Институт общей и неорганической химии им. Н.С. Курнакова Российской академии наук</t>
  </si>
  <si>
    <t>1027700298559</t>
  </si>
  <si>
    <t>asp@igic.ras.ru</t>
  </si>
  <si>
    <t>119991, Москва, Ленинский проспект, 31</t>
  </si>
  <si>
    <t>Понедельник-пятница 10:00-16:00, суббота и воскресенье: выходной</t>
  </si>
  <si>
    <t>8-495-775-65-70</t>
  </si>
  <si>
    <t>Институт общей и экспериментальной биологии Сибирского Отделения Российской академии наук</t>
  </si>
  <si>
    <t>1020300902511</t>
  </si>
  <si>
    <t>aspigeb@mail.ru</t>
  </si>
  <si>
    <t>+73012419948</t>
  </si>
  <si>
    <t>Институт океанологии им. П.П.Ширшова Российской академии наук</t>
  </si>
  <si>
    <t>1037739013388</t>
  </si>
  <si>
    <t>aspirantura@ocean.ru</t>
  </si>
  <si>
    <t>117997, Москва, Нахимовский проспект, 36</t>
  </si>
  <si>
    <t>понедельник-пятница: 10.00-17.00 пятница: 10.00-16.00 суббота и воскресенье:выходной</t>
  </si>
  <si>
    <t>+7(495)125-58-00</t>
  </si>
  <si>
    <t>Институт оптики атмосферы им. В.Е. Зуева Сибирского отделения Российской академии наук</t>
  </si>
  <si>
    <t>1027000880268</t>
  </si>
  <si>
    <t>via@iao.ru</t>
  </si>
  <si>
    <t>634055, Томск, площадь Академика Зуева, 1</t>
  </si>
  <si>
    <t>Понедельник, среда, пятница с 10:00 до 13:00</t>
  </si>
  <si>
    <t>+73822491992</t>
  </si>
  <si>
    <t>Институт органического синтеза им. И.Я. Постовского Уральского отделения Российской академии наук</t>
  </si>
  <si>
    <t>1026604959842</t>
  </si>
  <si>
    <t>620108, Екатеринбург, Софьи Ковалевской, 22/20</t>
  </si>
  <si>
    <t>Понедельник-пятница: 11-00-16-00 Суббота и воскресенье:выходной</t>
  </si>
  <si>
    <t>+7(343) 374-35-78</t>
  </si>
  <si>
    <t>postdocs@ios.uran.ru</t>
  </si>
  <si>
    <t>Институт органической химии им. Н.Д. Зелинского Российской академии наук</t>
  </si>
  <si>
    <t>1027700304323</t>
  </si>
  <si>
    <t>119991, МОСКВА, ПРОСПЕКТ ЛЕНИНСКИЙ, д 47</t>
  </si>
  <si>
    <t>понедельник-четверг: 11:00-18:30 пятница: 11:00-16:30 суббота и воскресенье: выходной</t>
  </si>
  <si>
    <t>8-499-137-71-91</t>
  </si>
  <si>
    <t>vesela@ioc.ac.ru</t>
  </si>
  <si>
    <t>Институт повышения квалификации руководящих работников и специалистов</t>
  </si>
  <si>
    <t>1035002452132</t>
  </si>
  <si>
    <t>Понедельник-пятница с 09:00 до 17:00 Суббота, воскресень выходной день</t>
  </si>
  <si>
    <t>8-925-629-1105</t>
  </si>
  <si>
    <t>i.voropaev@ipkmeteo.ru</t>
  </si>
  <si>
    <t>Институт прикладной астрономии Российской академии наук</t>
  </si>
  <si>
    <t>1037828005852</t>
  </si>
  <si>
    <t>zmb@iaaras.ru</t>
  </si>
  <si>
    <t>191187, Санкт-Петербург, Кутузова набережная, 10</t>
  </si>
  <si>
    <t>8 (812) 275 10 15</t>
  </si>
  <si>
    <t>Институт прикладной механики Российской академии наук</t>
  </si>
  <si>
    <t>1037700153182</t>
  </si>
  <si>
    <t>125040, Москва, Ленинградский проспект, 7</t>
  </si>
  <si>
    <t>понедельник-четверг: 12:00-16:00 пятница-воскресенье: выходной</t>
  </si>
  <si>
    <t>+7(906)726-06-88</t>
  </si>
  <si>
    <t>aspirantura@iam.ras.ru</t>
  </si>
  <si>
    <t>Институт проблем безопасного развития атомной энергетики Российской академии наук</t>
  </si>
  <si>
    <t>1027700196468</t>
  </si>
  <si>
    <t>115191, Москва, Тульская Б., 52</t>
  </si>
  <si>
    <t>понедельник- четверг: 9:00-16:00 пятница : 9:00-15:00 суббота и воскресенье: выходной</t>
  </si>
  <si>
    <t>8-495-955-23-10</t>
  </si>
  <si>
    <t>pbl@ibrae.ac.ru</t>
  </si>
  <si>
    <t>Институт проблем искусственного интеллекта</t>
  </si>
  <si>
    <t>1229300155182</t>
  </si>
  <si>
    <t>283048, Донецк, Артема, 118Б</t>
  </si>
  <si>
    <t>понедельник-пятница: 10:00-15:00 суббота и воскресенье: выходной</t>
  </si>
  <si>
    <t>+7(949) 439-76-82</t>
  </si>
  <si>
    <t>aspirantura.ipai@yandex.ru</t>
  </si>
  <si>
    <t>Институт проблем комплексного освоения недр им. академика Н.В. Мельникова Российской академии наук</t>
  </si>
  <si>
    <t>1037700121150</t>
  </si>
  <si>
    <t>aspirantyra_ipkon@mail.ru</t>
  </si>
  <si>
    <t>111020, Москва, Крюковский туп., 4</t>
  </si>
  <si>
    <t>понедельник-четверг: 12:00-17:00 пятница: 12:00-16:30 суббота и воскресенье: выходной</t>
  </si>
  <si>
    <t>+7(495) 360-49-04</t>
  </si>
  <si>
    <t>Институт проблем машиноведения Российской академии наук</t>
  </si>
  <si>
    <t>1037800003560</t>
  </si>
  <si>
    <t>aspirant@ipme.ru</t>
  </si>
  <si>
    <t>199178, Санкт-Петербург, Васильевский остров. Большой проспект, 61</t>
  </si>
  <si>
    <t>понедельник-четверг: 10:30-17:30 пятница: 10:30-16:30 суббота и воскресенье: выходной</t>
  </si>
  <si>
    <t>8(812)321-47-72</t>
  </si>
  <si>
    <t>Институт проблем механики им. А.Ю. Ишлинского Российской академии наук</t>
  </si>
  <si>
    <t>1037739426735</t>
  </si>
  <si>
    <t>119526, Москва, проспект Вернадского, 101</t>
  </si>
  <si>
    <t>Понедельник - четверг 10:00 - 16:00, пятница 10:00 - 15:00, суббота и воскресенье: выходной.</t>
  </si>
  <si>
    <t>+7-495- 4343351</t>
  </si>
  <si>
    <t>aspirantura@ipmnet.ru</t>
  </si>
  <si>
    <t>Институт проблем морских технологий им. академика М.Д. Агеева Дальневосточного отделения Российской академии наук</t>
  </si>
  <si>
    <t>1022501279877</t>
  </si>
  <si>
    <t>690091, Владивосток, Суханова, 5а</t>
  </si>
  <si>
    <t>+7 (423) 243-24-16</t>
  </si>
  <si>
    <t>aspirant@marine.febras.ru</t>
  </si>
  <si>
    <t>Институт проблем нефти и газа Российской академии наук</t>
  </si>
  <si>
    <t>1037739238195</t>
  </si>
  <si>
    <t>aspirant@ipng.ru</t>
  </si>
  <si>
    <t>понедельник-вторник-четверг: 11:00-17:00 пятница: 11:00-16:00 суббота и воскресенье: выходной</t>
  </si>
  <si>
    <t>84991357311</t>
  </si>
  <si>
    <t>Институт проблем передачи информации им. А.А. Харкевича Российской академии наук</t>
  </si>
  <si>
    <t>1037700064940</t>
  </si>
  <si>
    <t>naumova@iitp.ru</t>
  </si>
  <si>
    <t>127051, Москва, Большой Каретный переулок, 19</t>
  </si>
  <si>
    <t>Пример: понедельник-четверг: 9:00-17:30 пятница суббота и воскресенье: выходной</t>
  </si>
  <si>
    <t>8-495-699-54-91</t>
  </si>
  <si>
    <t>Институт проблем развития науки Российской академии наук</t>
  </si>
  <si>
    <t>1057747667658</t>
  </si>
  <si>
    <t>117218, Москва, Нахимовский пр-т, 32</t>
  </si>
  <si>
    <t>8(495)2490274</t>
  </si>
  <si>
    <t>posta@issras.ru</t>
  </si>
  <si>
    <t>Институт проблем региональной экономики Российской академии наук</t>
  </si>
  <si>
    <t>1037851003574</t>
  </si>
  <si>
    <t>info@iresras.ru</t>
  </si>
  <si>
    <t>190013, Санкт-Петербург, Серпуховская, 38</t>
  </si>
  <si>
    <t>Понедельник: 11-15 часов Среда: 11-15часов</t>
  </si>
  <si>
    <t>(812) 3164865</t>
  </si>
  <si>
    <t>Институт проблем рынка Российской академии наук</t>
  </si>
  <si>
    <t>1027739542137</t>
  </si>
  <si>
    <t>0</t>
  </si>
  <si>
    <t>Институт проблем сверхпластичности металлов Российской академии наук</t>
  </si>
  <si>
    <t>1030204588633</t>
  </si>
  <si>
    <t>aanazarov@imsp.ru</t>
  </si>
  <si>
    <t>450001, Уфа, Ст. Халтурина, 39</t>
  </si>
  <si>
    <t>Понедельник, вторник, с 9 МСК до 14 МСК</t>
  </si>
  <si>
    <t>+79191564003</t>
  </si>
  <si>
    <t>Институт проблем технологии микроэлектроники и особочистых материалов Российской академии наук</t>
  </si>
  <si>
    <t>1035006105166</t>
  </si>
  <si>
    <t>+7 (496) 524-42-17</t>
  </si>
  <si>
    <t>airzhak@iptm.ru</t>
  </si>
  <si>
    <t>Черноголовка</t>
  </si>
  <si>
    <t>142432, Черноголовка, ул. Академика Осипьяна, 6</t>
  </si>
  <si>
    <t>понедельник-четверг: 9:00-17:30 пятница: 9:00-16:30 суббота и воскресенье: выходной обед: 12:00-13:30</t>
  </si>
  <si>
    <t>Институт проблем управления им. В. А. Трапезникова Российской академии наук</t>
  </si>
  <si>
    <t>1037739269590</t>
  </si>
  <si>
    <t>aspir@ipu.ru</t>
  </si>
  <si>
    <t>117997, Москва, Профсоюзная, 65</t>
  </si>
  <si>
    <t>Понедельник-Пятница 11:00-16:00</t>
  </si>
  <si>
    <t>+74951981720*1249</t>
  </si>
  <si>
    <t>Институт проблем химико-энергетических технологий Сибирского отделения Российской академии наук</t>
  </si>
  <si>
    <t>1022200571051</t>
  </si>
  <si>
    <t>8-3854-305956</t>
  </si>
  <si>
    <t>aspirantura@ipcet.ru</t>
  </si>
  <si>
    <t>Бийск</t>
  </si>
  <si>
    <t>659322, Бийск, Социалистическая, 1</t>
  </si>
  <si>
    <t>понедельник-пятница: 8:00-17:15, перерыв 12.45-14:00, суббота и воскресенье: выходной</t>
  </si>
  <si>
    <t>Институт проблем экологии и эволюции им. А.Н. Северцова Российской академии наук</t>
  </si>
  <si>
    <t>1027700469785</t>
  </si>
  <si>
    <t>aspirant.sevin@gmail.com</t>
  </si>
  <si>
    <t>119071, Москва, Ленинский проспект, 33</t>
  </si>
  <si>
    <t>понедельник-четверг: 11:00-17:00 пятница: 11:00-16:30 суббота и воскресенье: выходной</t>
  </si>
  <si>
    <t>(495) 952-35-84</t>
  </si>
  <si>
    <t>Институт программных систем им. А.К. Айламазяна Российской академии наук</t>
  </si>
  <si>
    <t>1027601052225</t>
  </si>
  <si>
    <t>Веськово</t>
  </si>
  <si>
    <t>152021, Веськово, Петра Первого, 4</t>
  </si>
  <si>
    <t>понедельник-четверг 10:00-15:00, пятница, суббота, воскресенье: выходной</t>
  </si>
  <si>
    <t>+74852695228</t>
  </si>
  <si>
    <t>psi@botik.ru</t>
  </si>
  <si>
    <t>Институт промышленной экологии Уральского отделения Российской академии наук</t>
  </si>
  <si>
    <t>1026604959370</t>
  </si>
  <si>
    <t>620108, Екатеринбург, Софьи Ковалевской, 20</t>
  </si>
  <si>
    <t>Институт психологии Российской академии наук</t>
  </si>
  <si>
    <t>1037739174758</t>
  </si>
  <si>
    <t>129366, Москва, Ярославская, 13</t>
  </si>
  <si>
    <t>Понедельник - четверг: 10:00- 17:00, пятница: 10:00 - 16:00 суббота и воскресенье: выходные</t>
  </si>
  <si>
    <t>8(495) 682-53-42</t>
  </si>
  <si>
    <t>Priemasp@ipran.ru</t>
  </si>
  <si>
    <t>ИНСТИТУТ ПСИХОТЕРАПИИ И КЛИНИЧЕСКОЙ ПСИХОЛОГИИ</t>
  </si>
  <si>
    <t>1237700255198</t>
  </si>
  <si>
    <t>priemvo@psyinst.moscow</t>
  </si>
  <si>
    <t>125047, Москва, 1-Я МИУССКАЯ, 22/24</t>
  </si>
  <si>
    <t>Понедельник-пятница: 10:00-18:00 суббота и воскресенье: выходной</t>
  </si>
  <si>
    <t>8(495)987-44-50</t>
  </si>
  <si>
    <t>Институт радиотехники и электроники им. В.А.Котельникова Российской академии наук</t>
  </si>
  <si>
    <t>1027700183708</t>
  </si>
  <si>
    <t>Понедельник-четверг: 9:30-17:00 пятница: 9:00-16:30 суббота и воскресенье: выходной</t>
  </si>
  <si>
    <t>(495)629-36-16; (495)629-33-61</t>
  </si>
  <si>
    <t>aspirantura@cplire.ru</t>
  </si>
  <si>
    <t>Институт развития, здоровья и адаптации ребенка</t>
  </si>
  <si>
    <t>1037739037335</t>
  </si>
  <si>
    <t>info@irzar.ru</t>
  </si>
  <si>
    <t>119121, Москва, ул. Погодинская, д. 8</t>
  </si>
  <si>
    <t>+7 (499) 245-04-33</t>
  </si>
  <si>
    <t>Институт российской истории Российской академии наук</t>
  </si>
  <si>
    <t>1037739148259</t>
  </si>
  <si>
    <t>iri-asp@yandex.ru</t>
  </si>
  <si>
    <t>Понедельник, пятница: 10:00-17:00 Вторник, Четверг: 11:00-18:00 Среда, суббота, воскресенье: выходной</t>
  </si>
  <si>
    <t>+74991269458</t>
  </si>
  <si>
    <t>Институт русского языка им. В. В. Виноградова Российской академии наук</t>
  </si>
  <si>
    <t>1037739466071</t>
  </si>
  <si>
    <t>av_kuznetsova@mail.ru</t>
  </si>
  <si>
    <t>119019, Москва, б-р Гоголевский, 2/18/1</t>
  </si>
  <si>
    <t>вторник 11-17, четверг 11-17</t>
  </si>
  <si>
    <t>+ 7 495 695 27 41</t>
  </si>
  <si>
    <t>Институт русской литературы (Пушкинский Дом) Российской академии наук</t>
  </si>
  <si>
    <t>1037800004549</t>
  </si>
  <si>
    <t>+7 (812) 328-19-01</t>
  </si>
  <si>
    <t>e.vozhik@yandex.ru</t>
  </si>
  <si>
    <t>199034, Санкт-Петербург, набережная Макарова, 4</t>
  </si>
  <si>
    <t>понедельник, четверг: 12:00-14:00, 15:00-17:00</t>
  </si>
  <si>
    <t>Институт сильноточной электроники Сибирского отделения Российской академии наук</t>
  </si>
  <si>
    <t>1027000871666</t>
  </si>
  <si>
    <t>iv.pegel@hcei.ru</t>
  </si>
  <si>
    <t>634055, Томск, проспект Академический, 2/3</t>
  </si>
  <si>
    <t>Понедельник-пятница: 9:00-17:30. Суббота и воскресенье - выходной</t>
  </si>
  <si>
    <t>8(3822)900-215</t>
  </si>
  <si>
    <t>Институт синтетических полимерных материалов им. Н.С. Ениколопова Российской академии наук</t>
  </si>
  <si>
    <t>1037739764171</t>
  </si>
  <si>
    <t>tarasenkosa@ispm.ru</t>
  </si>
  <si>
    <t>117393, МОСКВА, УЛИЦА ПРОФСОЮЗНАЯ, д 70</t>
  </si>
  <si>
    <t>понедельник - пятница 10.00-17.00, суббота и воскресенье выходной</t>
  </si>
  <si>
    <t>+74953325891</t>
  </si>
  <si>
    <t>Институт систем информатики им. А.П. Ершова Сибирского отделения Российской академии наук</t>
  </si>
  <si>
    <t>1025403664340</t>
  </si>
  <si>
    <t>aspirantura@iis.nsk.su</t>
  </si>
  <si>
    <t>понедельник-четверг: 10:00-17:00 пятница: 10:00-17:00 суббота и воскресенье: выходной</t>
  </si>
  <si>
    <t>+7(383)3307068</t>
  </si>
  <si>
    <t>Институт систем энергетики им. Л.А. Мелентьева Сибирского отделения Российской академии наук</t>
  </si>
  <si>
    <t>1023801752974</t>
  </si>
  <si>
    <t>664033, Иркутск, Лермонтова, 130</t>
  </si>
  <si>
    <t>Понедельник - четверг: 9:00 - 17:00 пятница: 9:00 - 17:00 суббота и воскресенье: выходной</t>
  </si>
  <si>
    <t>+7(3952)42-47-00</t>
  </si>
  <si>
    <t>priem@isem.irk.ru</t>
  </si>
  <si>
    <t>Институт систематики и экологии животных Сибирского отделения Российской академии наук</t>
  </si>
  <si>
    <t>1025402467947</t>
  </si>
  <si>
    <t>auri.na@mail.ru</t>
  </si>
  <si>
    <t>630091, Новосибирск, Фрунзе, 11</t>
  </si>
  <si>
    <t>Понедельник-пятница: 9:00-18:00 суббота и воскресенье: выходной</t>
  </si>
  <si>
    <t>+79049919746</t>
  </si>
  <si>
    <t>Институт системного программирования им. В.П. Иванникова Российской академии наук</t>
  </si>
  <si>
    <t>1037700067327</t>
  </si>
  <si>
    <t>+7-495-912-56-59, доб. 459</t>
  </si>
  <si>
    <t>bond@ispras.ru</t>
  </si>
  <si>
    <t>109004, Москва, Александра Солженицына, 25</t>
  </si>
  <si>
    <t>понедельник-четверг: 11.00-18.00, пятница: 11.00-17.00, суббота и воскресенье: выходной</t>
  </si>
  <si>
    <t>Институт славяноведения Российской академии наук</t>
  </si>
  <si>
    <t>1037739267169</t>
  </si>
  <si>
    <t>119334, Москва, Ленинский проспект, 32-А</t>
  </si>
  <si>
    <t>Понедельник-четверг 10:00-18:00; пятница 10:00-17:00; суббота-воскресенье - выходной.</t>
  </si>
  <si>
    <t>+7 933 095-93-46</t>
  </si>
  <si>
    <t>aspirantura@inslav.ru</t>
  </si>
  <si>
    <t>Институт современного искусства</t>
  </si>
  <si>
    <t>1177700002798</t>
  </si>
  <si>
    <t>121357, Москва, проезд Загорского, 23</t>
  </si>
  <si>
    <t>понедельник-пятница 10:00-18:00 , суббота и воскресенье: выходной</t>
  </si>
  <si>
    <t>495 136 36 07</t>
  </si>
  <si>
    <t>pk-isi@mail.ru</t>
  </si>
  <si>
    <t>Институт современного образования и информационных технологий</t>
  </si>
  <si>
    <t>1247700053061</t>
  </si>
  <si>
    <t>109439, Москва, Волгоградский проспект, 138</t>
  </si>
  <si>
    <t>понедельник-пятница: 9:30-18:00 пятница: 9:00-16:30 суббота</t>
  </si>
  <si>
    <t>84997950010</t>
  </si>
  <si>
    <t>abiturient@imeit.ru</t>
  </si>
  <si>
    <t>Институт содержания и методов обучения имени В.С. Леднева</t>
  </si>
  <si>
    <t>1027700111372</t>
  </si>
  <si>
    <t>aspirant@instrao.ru</t>
  </si>
  <si>
    <t>101000, Москва, Жуковского, 16</t>
  </si>
  <si>
    <t>понедельник-четверг:10:00-13:00,14:00-16:00 пятница:10:00-13:00,14:00-15:00 суббота и воскресенье: выходной</t>
  </si>
  <si>
    <t>+7 (495) 625 33 12</t>
  </si>
  <si>
    <t>Институт Соединенных Штатов Америки и Канады имени академика Г.А. Арбатова Российской академии наук</t>
  </si>
  <si>
    <t>1037739335480</t>
  </si>
  <si>
    <t>121069, Москва, Хлебный переулок, 2/3</t>
  </si>
  <si>
    <t>понедельник-четверг: 11:00-17:00 пятница: 12:00-16:00 суббота и воскресенье: выходной</t>
  </si>
  <si>
    <t>+74956911590</t>
  </si>
  <si>
    <t>aspirantura@iskran.ru</t>
  </si>
  <si>
    <t>Институт солнечно-земной физики Сибирского отделения Российской академии наук</t>
  </si>
  <si>
    <t>1033801748925</t>
  </si>
  <si>
    <t>ИРКУТСК</t>
  </si>
  <si>
    <t>664033, ИРКУТСК, ул Лермонтова, 126А</t>
  </si>
  <si>
    <t>понедельник-четверг: 9:00-17:00 пятница 9:00-16:00 выходной суббота,воскресенье</t>
  </si>
  <si>
    <t>8(3952)56-45-68</t>
  </si>
  <si>
    <t>priem@iszf.irk.ru</t>
  </si>
  <si>
    <t>Институт социальных наук</t>
  </si>
  <si>
    <t>1157700002723</t>
  </si>
  <si>
    <t>105005, Москва, Радио, 20</t>
  </si>
  <si>
    <t>Понедельник -пятница 9.30-17.30, суббота и воскресенье: выходной</t>
  </si>
  <si>
    <t>8499-261-51-10</t>
  </si>
  <si>
    <t>priem@mskisn.ru</t>
  </si>
  <si>
    <t>Институт структурной макрокинетики и проблем материаловедения им. А.Г. Мержанова Российской академии наук</t>
  </si>
  <si>
    <t>1035006109753</t>
  </si>
  <si>
    <t>sci-secretary@ism.ac.ru</t>
  </si>
  <si>
    <t>142432, Черноголовка, Академика Осипьяна, 8</t>
  </si>
  <si>
    <t>понедельник-четверг: 10:00-16:00 пятница: 10:00-15:00 суббота и воскресенье: выходной</t>
  </si>
  <si>
    <t>84965246397</t>
  </si>
  <si>
    <t>Институт тектоники и геофизики им. Ю.А. Косыгина Дальневосточного отделения Российской академии наук</t>
  </si>
  <si>
    <t>1032700298421</t>
  </si>
  <si>
    <t>680000, Хабаровск, Ким Ю Чена, 65</t>
  </si>
  <si>
    <t>11:00-16:00 понедельник-пятница обеденный перерыв 13:00-14:00 суббота и воскресение: выходной</t>
  </si>
  <si>
    <t>4212227588</t>
  </si>
  <si>
    <t>svetabon@list.ru</t>
  </si>
  <si>
    <t>Институт теоретической и прикладной механики им. С.А. Христиановича Сибирского отделения Российской академии наук</t>
  </si>
  <si>
    <t>1025403641900</t>
  </si>
  <si>
    <t>+73833477777 доб 415</t>
  </si>
  <si>
    <t>klyahina@itam.nsc.ru</t>
  </si>
  <si>
    <t>630090, Новосибирск, Институтская, 4</t>
  </si>
  <si>
    <t>понедельник-четверг: 9:00-16:30 пятница 9:00:15:30 суббота и воскресенье: выходной</t>
  </si>
  <si>
    <t>Институт теоретической и прикладной электродинамики Российской академии наук</t>
  </si>
  <si>
    <t>1027739263441</t>
  </si>
  <si>
    <t>125412, Москва, Ижорская, 13 стр. 6</t>
  </si>
  <si>
    <t>понедельник - пятница: 10:00-16:00; перерыв 12:00-13:00</t>
  </si>
  <si>
    <t>8-495-485-94-00</t>
  </si>
  <si>
    <t>belogradova@itae.ru</t>
  </si>
  <si>
    <t>Институт теоретической и экспериментальной биофизики Российской академии наук</t>
  </si>
  <si>
    <t>1025007770920</t>
  </si>
  <si>
    <t>noc16@mail.ru</t>
  </si>
  <si>
    <t>142290, Пущино, Институтская, 3</t>
  </si>
  <si>
    <t>+7(4967)739-323</t>
  </si>
  <si>
    <t>Институт теоретической физики им. Л.Д. Ландау Российской академии наук</t>
  </si>
  <si>
    <t>1035006108895</t>
  </si>
  <si>
    <t>142432, Черноголовка, проспект Академика Семенова, 1А</t>
  </si>
  <si>
    <t>+7 903 019 86 99</t>
  </si>
  <si>
    <t>aspirant@itp.ac.ru</t>
  </si>
  <si>
    <t>Институт теплофизики им. С.С. Кутателадзе Сибирского отделения Российской академии наук</t>
  </si>
  <si>
    <t>1025403648786</t>
  </si>
  <si>
    <t>630090, Новосибирск, Академика Лаврентьева, 1</t>
  </si>
  <si>
    <t>понедельник-пятница:9:00-16:00 суббота и воскресенье: выходной</t>
  </si>
  <si>
    <t>8(383)330-63-64, 8952-948-49-19, 8913-737-67-22</t>
  </si>
  <si>
    <t>dissovet@itp.nsc.ru, aspirantura@itp.nsc.ru</t>
  </si>
  <si>
    <t>Институт теплофизики Уральского отделения Российской академии наук</t>
  </si>
  <si>
    <t>1026604951856</t>
  </si>
  <si>
    <t>nauka@itpuran.ru</t>
  </si>
  <si>
    <t>620016, Екатеринбург, Амундсена, 107а</t>
  </si>
  <si>
    <t>понедельник-четверг: 8:30-17:15 пятница: 8:30-16:15 суббота и воскресенье: выходной</t>
  </si>
  <si>
    <t>+7(343)267-88-09</t>
  </si>
  <si>
    <t>Архангельская область</t>
  </si>
  <si>
    <t>Архангельск</t>
  </si>
  <si>
    <t>Институт управления, бизнеса и технологий</t>
  </si>
  <si>
    <t>1024001179465</t>
  </si>
  <si>
    <t>Калужская область</t>
  </si>
  <si>
    <t>Калуга</t>
  </si>
  <si>
    <t>248000, Калуга, Гагарина, 1</t>
  </si>
  <si>
    <t>понедельник-четверг: 9:00-19:00 пятница: 9:00-18:00, суббота: 9:00-16:00, воскресенье: выходной</t>
  </si>
  <si>
    <t>+7 (4842) 54-70-79</t>
  </si>
  <si>
    <t>semerenko@universitys.ru</t>
  </si>
  <si>
    <t>Институт усовершенствования врачей</t>
  </si>
  <si>
    <t>1022101137101</t>
  </si>
  <si>
    <t>Чувашская Республика</t>
  </si>
  <si>
    <t>Чебоксары</t>
  </si>
  <si>
    <t>428018, Чебоксары, Улица Михаила Сеспеля, 27</t>
  </si>
  <si>
    <t>ПН - ПТ: 08.30 - 16.30 Обед: 12.30 - 13.00 СБ: 09.00 - 15.00 ВС - выходной день</t>
  </si>
  <si>
    <t>8(8352) 58-23-88</t>
  </si>
  <si>
    <t>giduv-priem@med.cap.ru</t>
  </si>
  <si>
    <t>Институт физики атмосферы им. А.М. Обухова Российской академии наук</t>
  </si>
  <si>
    <t>1027739864107</t>
  </si>
  <si>
    <t>119017, Москва, Пыжевский переулок, 3</t>
  </si>
  <si>
    <t>среда 12.00-16.00 четверг 13.00-17.00</t>
  </si>
  <si>
    <t>+79167369630</t>
  </si>
  <si>
    <t>iya@ifaran.ru</t>
  </si>
  <si>
    <t>Институт физики высоких давлений им. Л.Ф. Верещагина Российской академии наук</t>
  </si>
  <si>
    <t>1025006036110</t>
  </si>
  <si>
    <t>ВН.ТЕР.Г.ГОРОДСКОЙ ОКРУГ ТРОИЦК, Г ТРОИЦК</t>
  </si>
  <si>
    <t>108840, ВН.ТЕР.Г.ГОРОДСКОЙ ОКРУГ ТРОИЦК, Г ТРОИЦК, Ш КАЛУЖСКОЕ, 14</t>
  </si>
  <si>
    <t>9:00-17:30 пятница: 9:00-16:30 суббота и воскресенье: выходной</t>
  </si>
  <si>
    <t>+7 (495) 851-00-22</t>
  </si>
  <si>
    <t>hpp@hppi.troitsk.ru</t>
  </si>
  <si>
    <t>Институт физики Земли им. О.Ю. Шмидта Российской академии наук</t>
  </si>
  <si>
    <t>1027739828610</t>
  </si>
  <si>
    <t>123242, Москва, Большая Грузинская, 10</t>
  </si>
  <si>
    <t>понедельник-четверг: 10:00-17:30 пятница: 10:00-17:00 суббота и воскресенье: выходной</t>
  </si>
  <si>
    <t>8 (499) 766-26-56; 8 (499) 254-53-70</t>
  </si>
  <si>
    <t>aspirantura@ifz.ru</t>
  </si>
  <si>
    <t>Институт физики металлов имени М.Н. Михеева Уральского отделения Российской академии наук</t>
  </si>
  <si>
    <t>1026604945245</t>
  </si>
  <si>
    <t>egorova@imp.uran.ru</t>
  </si>
  <si>
    <t>620108, Екатеринбург, Софьи Ковалевской, 18</t>
  </si>
  <si>
    <t>понедельник-пятница с 10.00 до 15.00, обед с 12.00 до 13.00; суббота, воскресенье выходные дни</t>
  </si>
  <si>
    <t>8(343)378-36-73</t>
  </si>
  <si>
    <t>Институт физики полупроводников им. А.В. Ржанова Сибирского отделения Российской академии наук</t>
  </si>
  <si>
    <t>1025403651283</t>
  </si>
  <si>
    <t>630090, Новосибирск, пр-т. Лаврентьева, 13, 13</t>
  </si>
  <si>
    <t>понедельник-пятница: 9:00-12:30; суббота и воскресенье: выходной</t>
  </si>
  <si>
    <t>+7-383-333-14-74</t>
  </si>
  <si>
    <t>aspirant@isp.nsc.ru</t>
  </si>
  <si>
    <t>Институт физики прочности и материаловедения Сибирского отделения Российской академии наук</t>
  </si>
  <si>
    <t>1027000868971</t>
  </si>
  <si>
    <t>634055, Томск, Академический проспект, 2/4</t>
  </si>
  <si>
    <t>понедельник-пятница: 08:30-17:30,перерыв 12:30-13:30, суббота и воскресенье: выходной</t>
  </si>
  <si>
    <t>(3822)286832</t>
  </si>
  <si>
    <t>aspirantura@ispms.ru</t>
  </si>
  <si>
    <t>Институт физики твердого тела имени Ю.А. Осипьяна Российской академии наук</t>
  </si>
  <si>
    <t>1025003915243</t>
  </si>
  <si>
    <t>142432, Черноголовка, Академика Осипьяна, 2</t>
  </si>
  <si>
    <t>понедельник-пятница: 9:00-17:00, обед 12:00-14:00, суббота и воскресенье: выходной</t>
  </si>
  <si>
    <t>+79152713850, +79264791297</t>
  </si>
  <si>
    <t>ftt@issp.ac.ru</t>
  </si>
  <si>
    <t>Институт физико-органической химии и углехимии им. Л.М. Литвиненко</t>
  </si>
  <si>
    <t>1229300098356</t>
  </si>
  <si>
    <t>283048, Донецк, Розы Люксембург, 70</t>
  </si>
  <si>
    <t>понедельник-четверг: 10:00-16:00 пятница: 10:00-15:00 перерыв 12:00-13:00 суббота и воскресенье: выходной</t>
  </si>
  <si>
    <t>+78563116830</t>
  </si>
  <si>
    <t>asp.ipocc@yandex.ru</t>
  </si>
  <si>
    <t>Институт физиологии им. И.П. Павлова Российской академии наук</t>
  </si>
  <si>
    <t>1037800014823</t>
  </si>
  <si>
    <t>sgpivina@infran.ru</t>
  </si>
  <si>
    <t>199034, Санкт-Петербург, Набережная Макарова, 6</t>
  </si>
  <si>
    <t>понедельник-четверг: 11.00-16:00 пятница, суббота и воскресенье: выходной</t>
  </si>
  <si>
    <t>(812)328-0701, доб. 109</t>
  </si>
  <si>
    <t>Институт физиологии растений им. К.А. Тимирязева Российской академии наук</t>
  </si>
  <si>
    <t>1027739505408</t>
  </si>
  <si>
    <t>ipp_phd@mail.ru</t>
  </si>
  <si>
    <t>127276, Москва, Ботаническая, 35</t>
  </si>
  <si>
    <t>понедельник – пятница с 10:00 до 18:30, обеденный перерыв с 13:00 до 13:30. суббота и воскресенье: выходной</t>
  </si>
  <si>
    <t>+7 (499) 678-54-00 (доб. 719, 463)</t>
  </si>
  <si>
    <t>Институт физического материаловедения Сибирского отделения Российской академии наук</t>
  </si>
  <si>
    <t>1110327014203</t>
  </si>
  <si>
    <t>aspirantura@ipms.bscnet.ru</t>
  </si>
  <si>
    <t>понедельник-четверг: 9:00-17:00, обеденный перерыв:12:00-14:00, суббота и воскресенье выходной</t>
  </si>
  <si>
    <t>8(3012)433160</t>
  </si>
  <si>
    <t>Институт физической химии и электрохимии им. А.Н. Фрумкина</t>
  </si>
  <si>
    <t>1037739294230</t>
  </si>
  <si>
    <t>119071, Москва, Ленинский проспект, 31</t>
  </si>
  <si>
    <t>Понедельник - пятница: 11.00 - 15.00; суббота и воскресенье: выходной</t>
  </si>
  <si>
    <t>8(495) 955-46-27</t>
  </si>
  <si>
    <t>scenter@phyche.ac.ru</t>
  </si>
  <si>
    <t>Институт филологии Сибирского отделения Российской академии наук</t>
  </si>
  <si>
    <t>1025403667431</t>
  </si>
  <si>
    <t>Институт философии и права Сибирского отделения Российской академии наук</t>
  </si>
  <si>
    <t>1025403656332</t>
  </si>
  <si>
    <t>понедельник-четверг: 9:00-17:30; пятница: 9:00 -16:30 суббота и воскресенье: выходные</t>
  </si>
  <si>
    <t>8-913-931-83-03</t>
  </si>
  <si>
    <t>kadr@philosophy.nsc.ru</t>
  </si>
  <si>
    <t>Институт философии и права Уральского отделения Российской академии наук</t>
  </si>
  <si>
    <t>1026605250638</t>
  </si>
  <si>
    <t>admin@instlaw.uran.ru</t>
  </si>
  <si>
    <t>понедельник-четверг: 10:00-17:00 пятница: 10:00-16:00 суббота-воскресенье: выходной</t>
  </si>
  <si>
    <t>+7(343)374-33-55</t>
  </si>
  <si>
    <t>Институт философии Российской академии наук</t>
  </si>
  <si>
    <t>1037704032706</t>
  </si>
  <si>
    <t>109240, Москва, Гончарная, 12</t>
  </si>
  <si>
    <t>понедельник - четверг: 11:00-17:00 пятница: 12:00-16:00</t>
  </si>
  <si>
    <t>8 (495) 697-86-07</t>
  </si>
  <si>
    <t>iphras-aspirantura@yandex.ru</t>
  </si>
  <si>
    <t>Институт химии высокочистых веществ им. Г.Г. Девятых Российской академии наук</t>
  </si>
  <si>
    <t>1025203577079</t>
  </si>
  <si>
    <t>sorochkina@ihps-nnov.ru</t>
  </si>
  <si>
    <t>+7 (831) 462-71-62</t>
  </si>
  <si>
    <t>Институт химии Дальневосточного отделения Российской академии наук</t>
  </si>
  <si>
    <t>1022502123478</t>
  </si>
  <si>
    <t>fmvl@ich.dvo.ru</t>
  </si>
  <si>
    <t>690022, Владивосток, проспект 100-летия Владивостока, 159</t>
  </si>
  <si>
    <t>понедельник-четверг: 10:00-17.00 пятница: 10:00-16.30 суббота, воскресенье: выходной</t>
  </si>
  <si>
    <t>8-914719-0126</t>
  </si>
  <si>
    <t>Институт химии нефти Сибирского отделения Российской академии наук</t>
  </si>
  <si>
    <t>1027000876374</t>
  </si>
  <si>
    <t>634055, Томск, проспект Академический, 4</t>
  </si>
  <si>
    <t>понедельник-пятница: 8:30-17:30 суббота и воскресенье: выходной</t>
  </si>
  <si>
    <t>8(3822)491258</t>
  </si>
  <si>
    <t>scienceIPC@yandex.ru</t>
  </si>
  <si>
    <t>Институт химии растворов им. Г.А. Крестова Российской академии наук</t>
  </si>
  <si>
    <t>1023700546066</t>
  </si>
  <si>
    <t>lyubov.antina@mail.ru</t>
  </si>
  <si>
    <t>153045, Иваново, Академическая, 1</t>
  </si>
  <si>
    <t>понедельник-четверг: 9:00-16:00 пятница: 9:00-15:00 суббота и воскресенье: выходной</t>
  </si>
  <si>
    <t>8(4932)351859</t>
  </si>
  <si>
    <t>Институт химии твердого тела и механохимии Сибирского отделения Российской академии наук</t>
  </si>
  <si>
    <t>1025403647972</t>
  </si>
  <si>
    <t>shah@solid.nsc.ru</t>
  </si>
  <si>
    <t>630128, Новосибирск, Кутателадзе, 18</t>
  </si>
  <si>
    <t>понедельник-четверг: 9:00-18:00 пятница: 9:00-17:00 суббота и воскресенье: выходной</t>
  </si>
  <si>
    <t>(383) 332 53 44</t>
  </si>
  <si>
    <t>Институт химии твердого тела Уральского отделения Российской академии наук</t>
  </si>
  <si>
    <t>1036603481166</t>
  </si>
  <si>
    <t>aspirantura@ihim.uran.ru</t>
  </si>
  <si>
    <t>620990, Екатеринбург, Первомайская, 91</t>
  </si>
  <si>
    <t>понедельник-пятница: 13:00-15:00, суббота и воскресенье: выходной</t>
  </si>
  <si>
    <t>+7(343)3745219, +7(343)3741406</t>
  </si>
  <si>
    <t>Институт химической биологии и фундаментальной медицины Сибирского отделения Российской академии наук</t>
  </si>
  <si>
    <t>1025403659852</t>
  </si>
  <si>
    <t>danov@1bio.ru</t>
  </si>
  <si>
    <t>Novosibirsk</t>
  </si>
  <si>
    <t>630090, Novosibirsk, 8 Lavrentiev Avenue, 8</t>
  </si>
  <si>
    <t>понедельник-пятница: 10:00-17:00 обед: 12:00-14:00 суббота и воскресенье: выходной</t>
  </si>
  <si>
    <t>+73833635132</t>
  </si>
  <si>
    <t>Институт химической кинетики и горения им. В.В. Воеводского Сибирского отделения Российской академии наук</t>
  </si>
  <si>
    <t>1025403648445</t>
  </si>
  <si>
    <t>asp@kinetics.nsc.ru</t>
  </si>
  <si>
    <t>ОБЛАСТЬ НОВОСИБИРСКАЯ, ГОРОД НОВОСИБИРСК</t>
  </si>
  <si>
    <t>630090, ОБЛАСТЬ НОВОСИБИРСКАЯ, ГОРОД НОВОСИБИРСК, УЛИЦА ИНСТИТУТСКАЯ, д 3</t>
  </si>
  <si>
    <t>понедельник-четверг: 10:00 - 17:00, перерыв на обед 13:00 -14:00 пятница: 10:00 -16:00, перерыв на обед 13:00 -14:00 суббота и воскресенье: выходной</t>
  </si>
  <si>
    <t>+7 (383) 333-11-02</t>
  </si>
  <si>
    <t>Институт цитологии Российской академии наук</t>
  </si>
  <si>
    <t>1027801540964</t>
  </si>
  <si>
    <t>194064, Санкт-Петербург, Тихорецкий пр., 4</t>
  </si>
  <si>
    <t>Вторник, среда, четверг с 13:00 до 15:00</t>
  </si>
  <si>
    <t>+79052805826</t>
  </si>
  <si>
    <t>aspirantura@incras.ru</t>
  </si>
  <si>
    <t>Институт эволюционной физиологии и биохимии им. И.М. Сеченова Российской академии наук</t>
  </si>
  <si>
    <t>1027801535728</t>
  </si>
  <si>
    <t>194223, Санкт-Петербург, пр.Тореза, 44</t>
  </si>
  <si>
    <t>понедельник-пятница: 11.00-16.00; суббота-воскресенье: выходной</t>
  </si>
  <si>
    <t>+7(812)-552-79-01</t>
  </si>
  <si>
    <t>office@iephb.ru</t>
  </si>
  <si>
    <t>Институт экологии растений и животных Уральского отделения Российской академии наук</t>
  </si>
  <si>
    <t>1026605767165</t>
  </si>
  <si>
    <t>gorodilova@ipae.uran.ru</t>
  </si>
  <si>
    <t>620144, Екатеринбург, 8 Марта, 202</t>
  </si>
  <si>
    <t>в рабочие дни с 11:00 до 17:00</t>
  </si>
  <si>
    <t>8 (343) 266-23-63, 8 (343) 210-38-58 (доб.1224)</t>
  </si>
  <si>
    <t>Институт экономики и организации промышленного производства Сибирского отделения Российской академии наук</t>
  </si>
  <si>
    <t>1025403658697</t>
  </si>
  <si>
    <t>8-383-3308944</t>
  </si>
  <si>
    <t>osuslova@ieie.nsc.ru</t>
  </si>
  <si>
    <t>630090, Новосибирск, проспект Академика Лаврентьева, 17</t>
  </si>
  <si>
    <t>понедельник-пятница: 11:00-17:30, суббота и воскресенье: выходной</t>
  </si>
  <si>
    <t>Институт экономики и правоведения (г. Назрань)</t>
  </si>
  <si>
    <t>1020600988264</t>
  </si>
  <si>
    <t>inek49@mail.ru</t>
  </si>
  <si>
    <t>Гамурзиевский м/о</t>
  </si>
  <si>
    <t>386132, Гамурзиевский м/о, Магистральная, 1</t>
  </si>
  <si>
    <t>Понедельник-суббота: 9:00-17:00 воскресенье выходной</t>
  </si>
  <si>
    <t>+79281902222</t>
  </si>
  <si>
    <t>Институт экономики и управления в промышленности</t>
  </si>
  <si>
    <t>1067799023951</t>
  </si>
  <si>
    <t>105203, Москва, 15-я Парковая, 8</t>
  </si>
  <si>
    <t>понедельник-пятница: 9:00-17:00 суббота 10.00-16.00 воскресенье: выходной</t>
  </si>
  <si>
    <t>84994648381</t>
  </si>
  <si>
    <t>priem@rosinstitut.ru</t>
  </si>
  <si>
    <t>Институт экономики Российской академии наук</t>
  </si>
  <si>
    <t>1057749043110</t>
  </si>
  <si>
    <t>aspirantura@inecon.ru</t>
  </si>
  <si>
    <t>117218, Москва, Нахимовский проспект, 32</t>
  </si>
  <si>
    <t>Вторник: 11:00-16:00 Четверг 11:00-16:00 Суббота-воскресенье: выходной</t>
  </si>
  <si>
    <t>8-499-724-13-91</t>
  </si>
  <si>
    <t>Институт экономики Уральского отделения Российской академии наук</t>
  </si>
  <si>
    <t>1026602310129</t>
  </si>
  <si>
    <t>+7(343)371-02-54</t>
  </si>
  <si>
    <t>navrotskaia.iv@uiec.ru</t>
  </si>
  <si>
    <t>620014, Екатеринбург, Московская, 29</t>
  </si>
  <si>
    <t>понедельник-четверг: 8:30-17:15, пятница с 8:30 до 16:00</t>
  </si>
  <si>
    <t>ИНСТИТУТ ЭКОНОМИЧЕСКИХ ИССЛЕДОВАНИЙ</t>
  </si>
  <si>
    <t>1229300044621</t>
  </si>
  <si>
    <t>283048, Донецк, Университетска, 77</t>
  </si>
  <si>
    <t>Понедельник-пятница: 8:30-17:00, перерыв 12:30-13:00.</t>
  </si>
  <si>
    <t>+79493711489</t>
  </si>
  <si>
    <t>post-graduate_eri@mail.ru</t>
  </si>
  <si>
    <t>Институт экономических исследований Дальневосточного отделения Российской академии наук</t>
  </si>
  <si>
    <t>1022701406089</t>
  </si>
  <si>
    <t>gritsko@ecrin.ru</t>
  </si>
  <si>
    <t>680042, Хабаровск, Тихоокеанская, 153</t>
  </si>
  <si>
    <t>понедельник-пятница: 10.00-17.00 суббота и воскресенье: выходной</t>
  </si>
  <si>
    <t>+7(421)272-52-25 (доб. 149)</t>
  </si>
  <si>
    <t>Институт экономической политики имени Е.Т. Гайдара</t>
  </si>
  <si>
    <t>1037739348822</t>
  </si>
  <si>
    <t>125993, Москва, Газетный переулок, 3-5</t>
  </si>
  <si>
    <t>понедельник - четверг: 10:00 - 17:00; пятница: 10:00 - 16:00; обед с 13:00 - 14:00</t>
  </si>
  <si>
    <t>+7 965 134-79-36</t>
  </si>
  <si>
    <t>asp@iep.ru</t>
  </si>
  <si>
    <t>Институт экспериментальной медицины</t>
  </si>
  <si>
    <t>1037828000198</t>
  </si>
  <si>
    <t>opkvk@iemspb.ru</t>
  </si>
  <si>
    <t>197022, Санкт-Петербург, Академика Павлова, 12</t>
  </si>
  <si>
    <t>Понедельник-четверг: 11.00-15.00</t>
  </si>
  <si>
    <t>(812)234-68-69</t>
  </si>
  <si>
    <t>Институт электрофизики и электроэнергетики Российской академии наук</t>
  </si>
  <si>
    <t>1037843099470</t>
  </si>
  <si>
    <t>vsnetov@yandex.ru</t>
  </si>
  <si>
    <t>понедельник-пятница: 10.00-17.00 суббота, воскресенье: выходной</t>
  </si>
  <si>
    <t>+78123151757</t>
  </si>
  <si>
    <t>Институт электрофизики Уральского отделения Российской академии наук</t>
  </si>
  <si>
    <t>1026604936929</t>
  </si>
  <si>
    <t>ss@iep.uran.ru</t>
  </si>
  <si>
    <t>620016, Екатеринбург, Амундсена, 106</t>
  </si>
  <si>
    <t>понедельник - пятница : 10.00-16.00, суббота и воскресенье: выходной</t>
  </si>
  <si>
    <t>8-343-2678818</t>
  </si>
  <si>
    <t>Институт элементоорганических соединений им. А.Н.Несмеянова Российской академии наук</t>
  </si>
  <si>
    <t>1027739900264</t>
  </si>
  <si>
    <t>solovieva@ineos.ac.ru</t>
  </si>
  <si>
    <t>119334, Москва, Вавилова, 28</t>
  </si>
  <si>
    <t>понедельник-пятница: 11:00-18:00 суббота и воскресенье: выходной</t>
  </si>
  <si>
    <t>8(499)135-78-25</t>
  </si>
  <si>
    <t>Институт энергетических исследований Российской академии наук</t>
  </si>
  <si>
    <t>1037739092643</t>
  </si>
  <si>
    <t>ntv@eriras.ru</t>
  </si>
  <si>
    <t>117186, Москва, Нагорная, 31</t>
  </si>
  <si>
    <t>+7 (499) 123-98-78</t>
  </si>
  <si>
    <t>Институт ядерной физики им. Г.И. Будкера Сибирского отделения Российской академии наук</t>
  </si>
  <si>
    <t>1025403658136</t>
  </si>
  <si>
    <t>630090, Новосибирск, проспект Академика Лаврентьева, 11</t>
  </si>
  <si>
    <t>+73833294239</t>
  </si>
  <si>
    <t>aspirantura@inp.nsk.su</t>
  </si>
  <si>
    <t>Институт ядерных исследований Российской академии наук</t>
  </si>
  <si>
    <t>1027739758562</t>
  </si>
  <si>
    <t>aspirant@inr.ru</t>
  </si>
  <si>
    <t>117312, Москва, проспект Шестидесятилетия Октября, 7А</t>
  </si>
  <si>
    <t>понедельник-четверг: 11:00-16:00, пятница: 11:00-15:00, суббота и воскресенье: выходной</t>
  </si>
  <si>
    <t>+7 (977) 157-52-73</t>
  </si>
  <si>
    <t>Институт языкознания Российской академии наук</t>
  </si>
  <si>
    <t>1027700272126</t>
  </si>
  <si>
    <t>125009, Москва, Большой Кисловский переулок, 1</t>
  </si>
  <si>
    <t>вторник и четверг: 11:00-17:00, понедельник, среда, пятница, суббота и воскресенье: выходной</t>
  </si>
  <si>
    <t>+74956903749</t>
  </si>
  <si>
    <t>aspirantura@iling-ran.ru</t>
  </si>
  <si>
    <t>Иркутский государственный аграрный университет имени А.А. Ежевского</t>
  </si>
  <si>
    <t>1023801535658</t>
  </si>
  <si>
    <t>Молодежный</t>
  </si>
  <si>
    <t>664038, Молодежный, Молодежный, 1/1</t>
  </si>
  <si>
    <t>понедельник-пятница: 8:00-17:00 суббота и воскресенье: выходной</t>
  </si>
  <si>
    <t>8(9025) 662955, 8(3952) 662955.</t>
  </si>
  <si>
    <t>priem@irsau.ru</t>
  </si>
  <si>
    <t>Иркутский государственный медицинский университет</t>
  </si>
  <si>
    <t>1023801539673</t>
  </si>
  <si>
    <t>664003, Иркутск, Красного Восстания, 1</t>
  </si>
  <si>
    <t>8(3952)506-469</t>
  </si>
  <si>
    <t>ismupriem@mail.ru</t>
  </si>
  <si>
    <t>Иркутский государственный университет</t>
  </si>
  <si>
    <t>1033801008218</t>
  </si>
  <si>
    <t>664003, Иркутск, Карла Маркса 1, Карла Маркса 1</t>
  </si>
  <si>
    <t>понедельник-пятница: 10.00 - 17.00 суббота: 10.00 - 14.00 воскресенье: выходной</t>
  </si>
  <si>
    <t>8(3952)521555</t>
  </si>
  <si>
    <t>priem@isu.ru</t>
  </si>
  <si>
    <t>Иркутский государственный университет путей сообщения</t>
  </si>
  <si>
    <t>1023801748761</t>
  </si>
  <si>
    <t>664074, Иркутск, Чернышевского, 15</t>
  </si>
  <si>
    <t>Понедельник - четверг: 9:00-17:00 пятница: 9:00-16:00 суббота : 9.00-14.00 и воскресенье: выходной</t>
  </si>
  <si>
    <t>8(3952) 638340</t>
  </si>
  <si>
    <t>pk@irgups.ru</t>
  </si>
  <si>
    <t>Иркутский институт химии им. А.Е. Фаворского Сибирского отделения Российской академии наук</t>
  </si>
  <si>
    <t>1023801755779</t>
  </si>
  <si>
    <t>rozolga@irioch.irk.ru</t>
  </si>
  <si>
    <t>664033, Иркутск, Фаворского, 1</t>
  </si>
  <si>
    <t>понедельник-среда 9.00-17.00, четверг-пятница 09.00-12.00, суббота и воскресенье: выходной</t>
  </si>
  <si>
    <t>+7(395)251-14-31</t>
  </si>
  <si>
    <t>Иркутский научный центр хирургии и травматологии</t>
  </si>
  <si>
    <t>1023801755526</t>
  </si>
  <si>
    <t>664003, Иркутск, ул. Борцов Революции, 1</t>
  </si>
  <si>
    <t>понедельник-пятница: 8:00-16:30, суббота и воскресенье: выходной</t>
  </si>
  <si>
    <t>+73952290339</t>
  </si>
  <si>
    <t>iscst.edu@gmail.com</t>
  </si>
  <si>
    <t>Иркутский национальный исследовательский технический университет</t>
  </si>
  <si>
    <t>1023801756120</t>
  </si>
  <si>
    <t>664074, Иркутск, Лермонтова, 83</t>
  </si>
  <si>
    <t>понедельник-пятница: 9:00-16:00 суббота: 9:00-14:00 воскресенье: выходной</t>
  </si>
  <si>
    <t>8(3952)40-54-55</t>
  </si>
  <si>
    <t>vostnata@ex.istu.edu</t>
  </si>
  <si>
    <t>Иркутский ордена Трудового Красного Знамени научно-исследовательский противочумный институт Сибири и Дальнего Востока</t>
  </si>
  <si>
    <t>1023801543017</t>
  </si>
  <si>
    <t>otdel.niumo@yandex.ru</t>
  </si>
  <si>
    <t>664047, Иркутск, Трилиссера, 78</t>
  </si>
  <si>
    <t>Понедельник-пятница: 9:00-17:00 Суббота и воскресенье: выходной</t>
  </si>
  <si>
    <t>3(952) 23-99-85; 89041457057</t>
  </si>
  <si>
    <t>Исследовательский центр частного права имени С.С. Алексеева при Президенте Российской Федерации</t>
  </si>
  <si>
    <t>1027739237041</t>
  </si>
  <si>
    <t>103132, Москва, Ильинка, 8</t>
  </si>
  <si>
    <t>понедельник-четверг: 9:00-18:00 пятница: 9:00-16:45 суббота и воскресенье: выходной (ФГБНУ «Исследовательский центр частного права имени С.С. Алексеева при Президенте Российской Федерации») понедельник-пятница: 9:00-18:00 суббота и воскресенье: выходной (Уральский филиал ФГБНУ «Исследовательский центр частного права имени С.С. Алексеева при Президенте Российской Федерации»)</t>
  </si>
  <si>
    <t>+7 495 606-37-28 (ФГБНУ «Исследовательский центр частного права имени С.С. Алексеева при Президенте Российской Федерации») +7 (343) 371-01-31 ((Уральский филиал ФГБНУ «Исследовательский центр частного права имени С.С. Алексеева при Президенте Российской Федерации»)</t>
  </si>
  <si>
    <t>educational_department@privlaw.ru (ФГБНУ «Исследовательский центр частного права имени С.С. Алексеева при Президенте Российской Федерации») uril3713641@yandex.ru (Уральский филиал ФГБНУ «Исследовательский центр частного права имени С.С. Алексеева при Президенте Российской Федерации»)</t>
  </si>
  <si>
    <t>Кабардино-Балкарский государственный аграрный университет имени В.М. Кокова</t>
  </si>
  <si>
    <t>1020700756174</t>
  </si>
  <si>
    <t>360030, Нальчик, пр. Ленина, 1в</t>
  </si>
  <si>
    <t>понедельник-суббота: 9:00 - 18:00 воскресенье: выходной</t>
  </si>
  <si>
    <t>88662 40-56-97</t>
  </si>
  <si>
    <t>polishuk.kbr@mail.ru</t>
  </si>
  <si>
    <t>Кабардино-Балкарский государственный университет им. Х.М. Бербекова</t>
  </si>
  <si>
    <t>1020700739234</t>
  </si>
  <si>
    <t>360004, Нальчик, Чернышевского, 173</t>
  </si>
  <si>
    <t>Пн.-Пт. 9:00 - 18:00 Сб. 9:00 - 14:00 Вс. выходной</t>
  </si>
  <si>
    <t>+7(866-2) 42-27-79 +7(866-2) 42-03-20</t>
  </si>
  <si>
    <t>pkkbsu@kbsu.ru</t>
  </si>
  <si>
    <t>Казанская православная духовная семинария Казанской епархии Русской Православной Церкви</t>
  </si>
  <si>
    <t>1021600002885</t>
  </si>
  <si>
    <t>420036, Казань, Челюскина, 31А</t>
  </si>
  <si>
    <t>понедельник-пятница 9:00-17:00</t>
  </si>
  <si>
    <t>(843) 205-60-28</t>
  </si>
  <si>
    <t>priem@kazpds.ru</t>
  </si>
  <si>
    <t>Казанский (Приволжский) федеральный университет</t>
  </si>
  <si>
    <t>1021602841391</t>
  </si>
  <si>
    <t>420008, Казань, ул. Кремлевская, 18</t>
  </si>
  <si>
    <t>понедельник-пятница: 8:30-18:00 суббота: 8:30-13:00</t>
  </si>
  <si>
    <t>+7(843) 206-50-56</t>
  </si>
  <si>
    <t>priem@kpfu.ru</t>
  </si>
  <si>
    <t>Казанский государственный аграрный университет</t>
  </si>
  <si>
    <t>1031622501789</t>
  </si>
  <si>
    <t>420015, Казань, Карла Маркса, 65</t>
  </si>
  <si>
    <t>понедельник-пятница: 9:00-17:00 суббота: 9:00-13.00 воскресенье: выходной</t>
  </si>
  <si>
    <t>8 (843) 598-40-48</t>
  </si>
  <si>
    <t>admin@kazgau.com</t>
  </si>
  <si>
    <t>Казанский государственный архитектурно-строительный университет</t>
  </si>
  <si>
    <t>1021602836485</t>
  </si>
  <si>
    <t>420043, Казань, ул. Зеленая, 1</t>
  </si>
  <si>
    <t>8(843)510-46-50</t>
  </si>
  <si>
    <t>priem@kgasu.ru</t>
  </si>
  <si>
    <t>Казанский государственный институт культуры</t>
  </si>
  <si>
    <t>1021603477411</t>
  </si>
  <si>
    <t>420059, Казань, Оренбургский тракт, 3</t>
  </si>
  <si>
    <t>понедельник-пятница 9.00 - 16.30; суббота 9.00-13.00; воскресенье выходной</t>
  </si>
  <si>
    <t>8(843)277-59-17; +7(904)662-79-92</t>
  </si>
  <si>
    <t>priem@kazgik.ru</t>
  </si>
  <si>
    <t>Казанский государственный медицинский университет Министерства здравоохранения Российской Федерации</t>
  </si>
  <si>
    <t>1021602848189</t>
  </si>
  <si>
    <t>priemcom@kazangmu.ru</t>
  </si>
  <si>
    <t>420012, Казань, Бутлерова, 49</t>
  </si>
  <si>
    <t>понедельник-пятница: 9:00-16:00 суббота: 9:00-12:00 и воскресенье: выходной</t>
  </si>
  <si>
    <t>8(843)236-12-72</t>
  </si>
  <si>
    <t>Казанский государственный энергетический университет</t>
  </si>
  <si>
    <t>1021603065637</t>
  </si>
  <si>
    <t>420066, Казань, ул.Красносельская, 51</t>
  </si>
  <si>
    <t>понедельник-пятницу: 9:00-18:00 суббота и воскресенье: выходной</t>
  </si>
  <si>
    <t>88435194242</t>
  </si>
  <si>
    <t>pr-kgeu@yandex.ru</t>
  </si>
  <si>
    <t>Казанский инновационный университет имени В.Г. Тимирясова (ИЭУП)</t>
  </si>
  <si>
    <t>1021602842095</t>
  </si>
  <si>
    <t>420111, Казань, Московская, 42</t>
  </si>
  <si>
    <t>понедельник-пятница: 9:00-19:00 суббота: 9:00-17:00 воскресенье: 9:00 -14:00</t>
  </si>
  <si>
    <t>+7 843 231 92 97</t>
  </si>
  <si>
    <t>priem@ieml.ru</t>
  </si>
  <si>
    <t>Казанский институт финансов, экономики и информатики</t>
  </si>
  <si>
    <t>1031621014259</t>
  </si>
  <si>
    <t>info@kifei.ru</t>
  </si>
  <si>
    <t>казань</t>
  </si>
  <si>
    <t>420021, казань, ул. Московская , 60</t>
  </si>
  <si>
    <t>понедельник-пятница: 9:00-18:00 суббота и воскресенье: выходной</t>
  </si>
  <si>
    <t>248-65-65</t>
  </si>
  <si>
    <t>Казанский национальный исследовательский технический университет им. А.Н. Туполева-КАИ</t>
  </si>
  <si>
    <t>1021602835275</t>
  </si>
  <si>
    <t>rmshakirzyanov@kai.ru</t>
  </si>
  <si>
    <t>420111, Казань, К. Маркса, 10</t>
  </si>
  <si>
    <t>Понедельник-пятница: 9:00-17:00, суббота и воскресенье: выходной</t>
  </si>
  <si>
    <t>+78432310090</t>
  </si>
  <si>
    <t>Казанский национальный исследовательский технологический университет</t>
  </si>
  <si>
    <t>1021602854965</t>
  </si>
  <si>
    <t>420015, Казань, Карла Маркса, 68</t>
  </si>
  <si>
    <t>понедельник - пятница: 9.00 - 18.00; суббота: 9.00 - 13.00; воскресение: выходной</t>
  </si>
  <si>
    <t>+79274727072</t>
  </si>
  <si>
    <t>kstu_pk@kstu.ru</t>
  </si>
  <si>
    <t>Калининградский государственный технический университет</t>
  </si>
  <si>
    <t>1023900592561</t>
  </si>
  <si>
    <t>236022, Калининград, проспект Советский, 1</t>
  </si>
  <si>
    <t>понедельник-пятница: 10:00-17:00 суббота: 10:00-13:00 воскресенье: выходной</t>
  </si>
  <si>
    <t>8(4012)99-59-99</t>
  </si>
  <si>
    <t>pk@klgtu.ru</t>
  </si>
  <si>
    <t>Калининградский институт управления</t>
  </si>
  <si>
    <t>1023900993412</t>
  </si>
  <si>
    <t>nabor@kiu39.ru</t>
  </si>
  <si>
    <t>236006, Калининград, Литовский вал, 38</t>
  </si>
  <si>
    <t>Понедельник-Пятница: 08:30-17:00; Суббота: 10:00-14:00; Воскресенье: Выходной</t>
  </si>
  <si>
    <t>84012557382</t>
  </si>
  <si>
    <t>Калмыцкий государственный университет имени Б.Б. Городовикова</t>
  </si>
  <si>
    <t>1020800756844</t>
  </si>
  <si>
    <t>Республика Калмыкия</t>
  </si>
  <si>
    <t>Элиста</t>
  </si>
  <si>
    <t>358000, Элиста, Пушкина, 11</t>
  </si>
  <si>
    <t>88472245085</t>
  </si>
  <si>
    <t>pk@kalmsu.ru</t>
  </si>
  <si>
    <t>Калмыцкий научный центр Российской академии наук</t>
  </si>
  <si>
    <t>1020800770110</t>
  </si>
  <si>
    <t>358000, Элиста, им. И.К. Илишкина, 8</t>
  </si>
  <si>
    <t>понедельник-пятница 9:30-18:00; суббота и воскресенье: выходной</t>
  </si>
  <si>
    <t>+78472235547</t>
  </si>
  <si>
    <t>kigiran@mail.ru</t>
  </si>
  <si>
    <t>Калужская духовная семинария Калужской Епархии Русской Православной Церкви</t>
  </si>
  <si>
    <t>1024000008449</t>
  </si>
  <si>
    <t>248000, Калуга, Набережная, 4</t>
  </si>
  <si>
    <t>понедельник-пятница: 09:00-17:00, суббота и воскресенье: выходной</t>
  </si>
  <si>
    <t>8-953-335-15-95</t>
  </si>
  <si>
    <t>kds.pk@eparhia-kaluga.ru</t>
  </si>
  <si>
    <t>Калужский Государственный Университет им. К.Э. Циолковского</t>
  </si>
  <si>
    <t>1024001190432</t>
  </si>
  <si>
    <t>248023, Калуга, Степана Разина, 26</t>
  </si>
  <si>
    <t>Понедельник - пятница: с 09:00 до 13:00 и с 14:00 до 17:00; Суббота: с 10:00 до 13:00; Воскресенье: выходной.</t>
  </si>
  <si>
    <t>+7(4842)57-44-41</t>
  </si>
  <si>
    <t>priem@tksu.ru</t>
  </si>
  <si>
    <t>Камский институт искусств и дизайна</t>
  </si>
  <si>
    <t>1031616014792</t>
  </si>
  <si>
    <t>kamkiid@mail.ru</t>
  </si>
  <si>
    <t>ТАТАРСТАН РЕСПУБЛИКА, НАБЕРЕЖНЫЕ ЧЕЛНЫ</t>
  </si>
  <si>
    <t>423826, ТАТАРСТАН РЕСПУБЛИКА, НАБЕРЕЖНЫЕ ЧЕЛНЫ, проспект Чулман д, 112</t>
  </si>
  <si>
    <t>Понедельник-пятница: 8:00-17:00</t>
  </si>
  <si>
    <t>8 (8552) 71-88-24</t>
  </si>
  <si>
    <t>Камчатский государственный технический университет</t>
  </si>
  <si>
    <t>1024101031790</t>
  </si>
  <si>
    <t>683003, Петропавловск-Камчатский, Ключевская, 35</t>
  </si>
  <si>
    <t>понедельник-четверг: 8:30-17:30 пятница: 8:30-16:30 суббота и воскресенье: выходной</t>
  </si>
  <si>
    <t>+74152300883</t>
  </si>
  <si>
    <t>priem@kamchatgtu.ru</t>
  </si>
  <si>
    <t>Камчатский государственный университет имени Витуса Беринга</t>
  </si>
  <si>
    <t>1024101015157</t>
  </si>
  <si>
    <t>+7 (4152) 30-06-49</t>
  </si>
  <si>
    <t>683032, Петропавловск-Камчатский, Пограничная, 4</t>
  </si>
  <si>
    <t>понедельник-четверг: 8:30-17:00 пятница: 8:30-12:30 Суббота и воскресенье: выходной</t>
  </si>
  <si>
    <t>priem@kamgu.ru</t>
  </si>
  <si>
    <t>Карачаево-Черкесский государственный университет имени У. Д. Алиева</t>
  </si>
  <si>
    <t>1020900775026</t>
  </si>
  <si>
    <t>Карачаево-Черкесская Республика</t>
  </si>
  <si>
    <t>priem.kom@mail.ru</t>
  </si>
  <si>
    <t>Карачаевск</t>
  </si>
  <si>
    <t>369200, Карачаевск, Ленина, 29</t>
  </si>
  <si>
    <t>+7 -878-79-2-73-37</t>
  </si>
  <si>
    <t>Карельский научный центр Российской академии наук</t>
  </si>
  <si>
    <t>1021000531133</t>
  </si>
  <si>
    <t>Республика Карелия</t>
  </si>
  <si>
    <t>Петрозаводск</t>
  </si>
  <si>
    <t>185910, Петрозаводск, ул. Пушкинская, 11</t>
  </si>
  <si>
    <t>Понедельник-четверг: 9:00-17:15, пятница: 9:00-17:00, перерыв 13.00-14.00; суббота и воскресенье: выходной</t>
  </si>
  <si>
    <t>88142-765591</t>
  </si>
  <si>
    <t>aspirantura@krc.karelia.ru</t>
  </si>
  <si>
    <t>Кемеровский государственный институт культуры</t>
  </si>
  <si>
    <t>1024200708180</t>
  </si>
  <si>
    <t>Кемеровская область</t>
  </si>
  <si>
    <t>abitur@kemguki.ru</t>
  </si>
  <si>
    <t>Кемерово</t>
  </si>
  <si>
    <t>650056, Кемерово, Ворошилова, 17</t>
  </si>
  <si>
    <t>понедельник-четверг: 09:00-17:00, пятница: 09:00-16:00, суббота и воскресенье: выходной</t>
  </si>
  <si>
    <t>8-384-273-28-56</t>
  </si>
  <si>
    <t>Кемеровский государственный медицинский университет Министерства здравоохранения Российской Федерации</t>
  </si>
  <si>
    <t>1024200713514</t>
  </si>
  <si>
    <t>y@s1407.ru</t>
  </si>
  <si>
    <t>650056, Кемерово, Ворошилова, 22</t>
  </si>
  <si>
    <t>8-905-912-43-62</t>
  </si>
  <si>
    <t>Кемеровский государственный университет</t>
  </si>
  <si>
    <t>1034205005801</t>
  </si>
  <si>
    <t>650000, Кемерово, Красная, 6</t>
  </si>
  <si>
    <t>понедельник-пятница: 9:00-18:00 суббота: 9:00-14:00 воскресенье: выходной</t>
  </si>
  <si>
    <t>+7 (3842) 58-39-12</t>
  </si>
  <si>
    <t>abiturientkemsu@yandex.ru</t>
  </si>
  <si>
    <t>Керченский государственный морской технологический университет</t>
  </si>
  <si>
    <t>1159102037940</t>
  </si>
  <si>
    <t>Керчь</t>
  </si>
  <si>
    <t>298309, Керчь, Орджоникидзе, 82</t>
  </si>
  <si>
    <t>+79787141513</t>
  </si>
  <si>
    <t>pk_kgmtu@mail.ru</t>
  </si>
  <si>
    <t>Кировский государственный медицинский университет Министерства здравоохранения Российской Федерации</t>
  </si>
  <si>
    <t>1034316504540</t>
  </si>
  <si>
    <t>priem1@kirovgma.ru</t>
  </si>
  <si>
    <t>610027, Киров, -, -</t>
  </si>
  <si>
    <t>понедельник-пятница: 08.30-17.00; суббота: 08.30-13.00; воскресенье: выходной</t>
  </si>
  <si>
    <t>+7 (833)267-59-86</t>
  </si>
  <si>
    <t>Кировский научно-исследовательский институт гематологии и переливания крови Федерального медико-биологического агентства</t>
  </si>
  <si>
    <t>1034316521051</t>
  </si>
  <si>
    <t>610027, Киров, Красноармейская, 72</t>
  </si>
  <si>
    <t>(8332)54-00-68</t>
  </si>
  <si>
    <t>niigpk@fmbamail.ru</t>
  </si>
  <si>
    <t>Ковровский государственный технологический университет имени В.А. Дегтярева</t>
  </si>
  <si>
    <t>1023301953223</t>
  </si>
  <si>
    <t>Ковров</t>
  </si>
  <si>
    <t>601910, Ковров, ул. Маяковского, 19</t>
  </si>
  <si>
    <t>8(49232) 6-96-02</t>
  </si>
  <si>
    <t>pk@dksta.ru</t>
  </si>
  <si>
    <t>КОЛОМЕНСКАЯ ДУХОВНАЯ СЕМИНАРИЯ</t>
  </si>
  <si>
    <t>1035000037269</t>
  </si>
  <si>
    <t>140406, Коломна, Голутвинская, 11</t>
  </si>
  <si>
    <t>8(496)616-49-24</t>
  </si>
  <si>
    <t>kpds@bk.ru</t>
  </si>
  <si>
    <t>Коми республиканская академия государственной службы и управления</t>
  </si>
  <si>
    <t>1031100403784</t>
  </si>
  <si>
    <t>Республика Коми</t>
  </si>
  <si>
    <t>Сыктывкар</t>
  </si>
  <si>
    <t>167962, Сыктывкар, Коммунистическая, 11</t>
  </si>
  <si>
    <t>Понедельник-Суббота: 9:00-18:00. Воскресенье: выходной</t>
  </si>
  <si>
    <t>+78212302787</t>
  </si>
  <si>
    <t>priem@krags.ru</t>
  </si>
  <si>
    <t>Комплексный научно-исследовательский институт им. Х.И. Ибрагимова Российской академии наук</t>
  </si>
  <si>
    <t>1022002543287</t>
  </si>
  <si>
    <t>eliza_ggni@mail.ru</t>
  </si>
  <si>
    <t>364906, Грозный, Старопромысловское шоссе, 21 а</t>
  </si>
  <si>
    <t>Понедельник-четверг: 9:00-18:00 пятница: 9:00-16:30 суббота и воскресенье: выходной</t>
  </si>
  <si>
    <t>+7(928)897-99-96</t>
  </si>
  <si>
    <t>Комсомольский-на-Амуре государственный университет</t>
  </si>
  <si>
    <t>1022700519621</t>
  </si>
  <si>
    <t>+7(4217)528-528</t>
  </si>
  <si>
    <t>prkom@knastu.ru</t>
  </si>
  <si>
    <t>681013, Комсомольск-на-Амуре, проспект Ленина, 27</t>
  </si>
  <si>
    <t>Понедельник-пятница: 8:00-20:00 суббота: 9:00-13:00 воскресенье: выходной</t>
  </si>
  <si>
    <t>Корпоративный университет развития образования</t>
  </si>
  <si>
    <t>1235000068511</t>
  </si>
  <si>
    <t>Мытищи</t>
  </si>
  <si>
    <t>141006, Мытищи, Индустриальная, 13</t>
  </si>
  <si>
    <t>Понедельник-четверг: 10:00-18:00 пятница: 10:00-16:45 суббота и воскресенье: выходной</t>
  </si>
  <si>
    <t>+7 (499) 798 01 02</t>
  </si>
  <si>
    <t>priem@mo-kuro.ru</t>
  </si>
  <si>
    <t>Костромская государственная сельскохозяйственная академия</t>
  </si>
  <si>
    <t>1024402232513</t>
  </si>
  <si>
    <t>Караваево</t>
  </si>
  <si>
    <t>156530, Караваево, Учебный городок, 34</t>
  </si>
  <si>
    <t>понедельник-пятница: 9:00-18:00 суббота: 9:00-16:00 воскресенье: выходной</t>
  </si>
  <si>
    <t>+7 (4942) 629-123</t>
  </si>
  <si>
    <t>e-mail: Info@kgsxa.ru</t>
  </si>
  <si>
    <t>Костромской государственный университет</t>
  </si>
  <si>
    <t>1024400529504</t>
  </si>
  <si>
    <t>8(4942)634900 доб. 644</t>
  </si>
  <si>
    <t>156005, Кострома, Дзержинского, 17/11</t>
  </si>
  <si>
    <t>понедельник-пятница: 9:00-15:00 суббота: 9:00-11:00 воскресенье: выходной</t>
  </si>
  <si>
    <t>priem@kosgos.ru</t>
  </si>
  <si>
    <t>Краснодарский государственный институт культуры</t>
  </si>
  <si>
    <t>1022301816096</t>
  </si>
  <si>
    <t>priemvkguki@rambler.ru</t>
  </si>
  <si>
    <t>350072, Краснодар, им. 40-летия Победы, 33</t>
  </si>
  <si>
    <t>понедельник-пятница: 9:00-17:00, суббота: 9:00-15:00, воскресенье - выходной</t>
  </si>
  <si>
    <t>8(861)257-76-28</t>
  </si>
  <si>
    <t>Краснодарский научный центр по зоотехнии и ветеринарии</t>
  </si>
  <si>
    <t>1022301983714</t>
  </si>
  <si>
    <t>Знаменский</t>
  </si>
  <si>
    <t>350055, Знаменский, Первомайская, 4</t>
  </si>
  <si>
    <t>понедельник-четверг: 9:00 - 17:00 пятница: 9:00 - 15:30 Время перерыва (пн-пт): 12:00- 13:00 Выходные: суббота и воскресенье</t>
  </si>
  <si>
    <t>+7(861)221-62-20</t>
  </si>
  <si>
    <t>krasnodarnivi@mail.ru</t>
  </si>
  <si>
    <t>Красноярский государственный аграрный университет</t>
  </si>
  <si>
    <t>1022402651006</t>
  </si>
  <si>
    <t>Красноярск</t>
  </si>
  <si>
    <t>660049, Красноярск, Мира, 90</t>
  </si>
  <si>
    <t>Понедельник-пятница: 9:00-17:00, суббота: 9:00-13:00, воскресенье: выходной</t>
  </si>
  <si>
    <t>+7 391 222 07 68</t>
  </si>
  <si>
    <t>priem@kgau.ru</t>
  </si>
  <si>
    <t>Красноярский государственный медицинский университет имени профессора В.Ф. Войно-Ясенецкого</t>
  </si>
  <si>
    <t>1022402471992</t>
  </si>
  <si>
    <t>660022, Красноярск, Партизана Железняка, 1</t>
  </si>
  <si>
    <t>Понедельник – четверг: с 8:00 до 16:40, пятница: с 8.00 до 15.40 суббота и воскресенье: выходной</t>
  </si>
  <si>
    <t>+7(391)228-08-58</t>
  </si>
  <si>
    <t>pk@krasgmu.ru</t>
  </si>
  <si>
    <t>Красноярский государственный педагогический университет им. В.П. Астафьева</t>
  </si>
  <si>
    <t>1022402653008</t>
  </si>
  <si>
    <t>660049, Красноярск, Ады Лебедевой, 89</t>
  </si>
  <si>
    <t>Понедельник-пятница: 9:00-18:00. Суббота и воскресенье: выходной</t>
  </si>
  <si>
    <t>+7(391)217-17-11</t>
  </si>
  <si>
    <t>abiturient@kspu.ru</t>
  </si>
  <si>
    <t>Крымский инженерно-педагогический университет имени Февзи Якубова</t>
  </si>
  <si>
    <t>1149102126678</t>
  </si>
  <si>
    <t>pk@kipu-rc.ru</t>
  </si>
  <si>
    <t>Симферополь</t>
  </si>
  <si>
    <t>295015, Симферополь, пер. Учебный, 8</t>
  </si>
  <si>
    <t>+7(3652)24-94-44</t>
  </si>
  <si>
    <t>Крымский университет культуры, искусств и туризма</t>
  </si>
  <si>
    <t>1149102182899</t>
  </si>
  <si>
    <t>295017, Симферополь, Киевская, 39</t>
  </si>
  <si>
    <t>Понедельник-пятница: 9:00-17:00 Суббота: 9:00-13:00 Воскресенье: выходной</t>
  </si>
  <si>
    <t>+7 (3652)-73-30-91</t>
  </si>
  <si>
    <t>priemkomkukiit@yandex.ru</t>
  </si>
  <si>
    <t>Крымский федеральный университет имени В.И. Вернадского</t>
  </si>
  <si>
    <t>1149102048578</t>
  </si>
  <si>
    <t>295007, Симферополь, Проспект Вернадского, 4</t>
  </si>
  <si>
    <t>+7 3652 51-65-65</t>
  </si>
  <si>
    <t>tnupt@mail.ru</t>
  </si>
  <si>
    <t>Кубанский государственный аграрный университет имени И.Т. Трубилина</t>
  </si>
  <si>
    <t>1022301814776</t>
  </si>
  <si>
    <t>350044, Краснодар, Калинина, 13</t>
  </si>
  <si>
    <t>с 9.00 до 16.00, обед с 12.00 до 13.00</t>
  </si>
  <si>
    <t>+7(861) 221-58-18</t>
  </si>
  <si>
    <t>pk@kubsau.ru</t>
  </si>
  <si>
    <t>Кубанский государственный медицинский университет» Министерства здравоохранения Российской Федерации</t>
  </si>
  <si>
    <t>1022301430590</t>
  </si>
  <si>
    <t>350063, Краснодар, Митрофана Седина, 4</t>
  </si>
  <si>
    <t>pr_com@ksma.ru</t>
  </si>
  <si>
    <t>Кубанский государственный технологический университет</t>
  </si>
  <si>
    <t>1022301604610</t>
  </si>
  <si>
    <t>350072, Краснодар, Московская, 2</t>
  </si>
  <si>
    <t>понедельник-пятница: 8:00-17:00, суббота: 8:00-14:00, воскресенье: выходной</t>
  </si>
  <si>
    <t>+7 (861) 255-25-32</t>
  </si>
  <si>
    <t>priem@kubstu.ru</t>
  </si>
  <si>
    <t>Кубанский государственный университет</t>
  </si>
  <si>
    <t>1022301972516</t>
  </si>
  <si>
    <t>350040, Краснодар, ул. Ставропольская, 149</t>
  </si>
  <si>
    <t>понедельник-пятница 9:00-17:00, суббота 9:00-16:00 воскресенье: выходной</t>
  </si>
  <si>
    <t>+7-918-120-17-47</t>
  </si>
  <si>
    <t>abitur@kubsu.ru</t>
  </si>
  <si>
    <t>Кубанский государственный университет физической культуры, спорта и туризма</t>
  </si>
  <si>
    <t>1022301597647</t>
  </si>
  <si>
    <t>350015, Краснодар, им.Буденного, 161</t>
  </si>
  <si>
    <t>Понедельник-пятница: 9:00-17:00, суббота: 9:00-14:00</t>
  </si>
  <si>
    <t>+7(861)259-26-77</t>
  </si>
  <si>
    <t>priem@kgufkst.ru</t>
  </si>
  <si>
    <t>КУБАНСКИЙ ИНСТИТУТ ПРОФЕССИОНАЛЬНОГО ОБРАЗОВАНИЯ</t>
  </si>
  <si>
    <t>1222300063501</t>
  </si>
  <si>
    <t>89180680088</t>
  </si>
  <si>
    <t>priem@kipo.institute</t>
  </si>
  <si>
    <t>Кубанский медицинский институт</t>
  </si>
  <si>
    <t>1022301979534</t>
  </si>
  <si>
    <t>info@kubmi.ru</t>
  </si>
  <si>
    <t>350064, Краснодар, Красная/им. Ленина, 52-56/44</t>
  </si>
  <si>
    <t>10.00 - 18.00 понедельник - пятница, суббота и воскресенье выходной</t>
  </si>
  <si>
    <t>8(861)991-22-88</t>
  </si>
  <si>
    <t>Кузбасский государственный аграрный университет имени В.Н. Полецкова</t>
  </si>
  <si>
    <t>1024240680199</t>
  </si>
  <si>
    <t>priemksai@mail.ru</t>
  </si>
  <si>
    <t>650056, Кемерово, ул. Марковцева, 5, ул. Марковцева, 5</t>
  </si>
  <si>
    <t>понедельник- пятница: 9:00-17.15; суббота: 9:00-14:00; воскресенье: выходной</t>
  </si>
  <si>
    <t>83842734375</t>
  </si>
  <si>
    <t>Кузбасский государственный технический университет имени Т.Ф. Горбачева</t>
  </si>
  <si>
    <t>1024200708069</t>
  </si>
  <si>
    <t>650000, Кемерово, Весенняя, 28</t>
  </si>
  <si>
    <t>с 1 сентября по 19 июня: понедельник-четверг: 8:00-17:00 пятница: 8:00-14:30 суббота и воскресенье: выходной; с 20 июня по 31 августа: понедельник-пятница: 9:00-18:00 суббота: 10:00-14:00 воскресенье: выходной</t>
  </si>
  <si>
    <t>8 (3842) 68-24-24</t>
  </si>
  <si>
    <t>abit@kuzstu.ru</t>
  </si>
  <si>
    <t>Новокузнецк</t>
  </si>
  <si>
    <t>Курганский государственный университет</t>
  </si>
  <si>
    <t>1024500512410</t>
  </si>
  <si>
    <t>Курганская область</t>
  </si>
  <si>
    <t>Курган</t>
  </si>
  <si>
    <t>640020, Курган, Советская, 63</t>
  </si>
  <si>
    <t>Понедельник-пятница: 9:00-17:00; суббота и воскресенье: выходной</t>
  </si>
  <si>
    <t>8 (3522) 65-30-30</t>
  </si>
  <si>
    <t>pk@kgsu.ru</t>
  </si>
  <si>
    <t>Курская академия государственной и муниципальной службы</t>
  </si>
  <si>
    <t>1034637002256</t>
  </si>
  <si>
    <t>Курская область</t>
  </si>
  <si>
    <t>Курск</t>
  </si>
  <si>
    <t>305044, Курск, Станционная, 9</t>
  </si>
  <si>
    <t>Понедельник-четверг: 9:00-17:00 пятница: 9:00-16:00 суббота и воскресенье: 9:00-13:30</t>
  </si>
  <si>
    <t>+7(961)191-58-00</t>
  </si>
  <si>
    <t>pkkagms2020@mail.ru</t>
  </si>
  <si>
    <t>Курский государственный аграрный университет имени И.И. Иванова</t>
  </si>
  <si>
    <t>1034637005292</t>
  </si>
  <si>
    <t>305021, Курск, Карла Маркса, 70</t>
  </si>
  <si>
    <t>понедельник-пятница: 9:00-17:00 суббота- воскресенье: 10:00-14:00</t>
  </si>
  <si>
    <t>+74712394020</t>
  </si>
  <si>
    <t>priem.kurskgsha@mail.ru</t>
  </si>
  <si>
    <t>Курский государственный медицинский университет Министерства здравоохранения Российской Федерации</t>
  </si>
  <si>
    <t>1034637005347</t>
  </si>
  <si>
    <t>г Курск</t>
  </si>
  <si>
    <t>305041, г Курск, ул К. Маркса, 3</t>
  </si>
  <si>
    <t>понедельник-пятница: 10:00-16:00 суббота: 10:00 -12:00; воскресенье: выходной</t>
  </si>
  <si>
    <t>+74712745048 - 20 июня - 29 августа; +74712588138 - 30 августа-19 июня</t>
  </si>
  <si>
    <t>shepelevaom@kursksmu.net</t>
  </si>
  <si>
    <t>Курский государственный университет</t>
  </si>
  <si>
    <t>1024600954608</t>
  </si>
  <si>
    <t>pk@kursksu.ru</t>
  </si>
  <si>
    <t>305000, Курск, Радищева, 33</t>
  </si>
  <si>
    <t>понедельник-пятница: 9.00-16.00 суббота: 9.00 - 13.00 воскресенье: выходной</t>
  </si>
  <si>
    <t>+74712520904</t>
  </si>
  <si>
    <t>Курский институт менеджмента, экономики и бизнеса</t>
  </si>
  <si>
    <t>1024600966422</t>
  </si>
  <si>
    <t>305000, Курск, Радищева, 35</t>
  </si>
  <si>
    <t>понедельник-пятница: 9-00-18-00 суббота и воскресенье: выходной</t>
  </si>
  <si>
    <t>+74712705690</t>
  </si>
  <si>
    <t>priem@mebik.ru</t>
  </si>
  <si>
    <t>Курский федеральный аграрный научный центр</t>
  </si>
  <si>
    <t>1024600618690</t>
  </si>
  <si>
    <t>Понедельник-пятница 09:00-16:00, перерыв с 13:00 до 14:00</t>
  </si>
  <si>
    <t>+7(4712)53-78-12</t>
  </si>
  <si>
    <t>kurskfarc@mail.ru</t>
  </si>
  <si>
    <t>Ленинградский государственный университет имени А.С. Пушкина</t>
  </si>
  <si>
    <t>1024701897043</t>
  </si>
  <si>
    <t>196605, Пушкин, Петербургское шоссе, 10</t>
  </si>
  <si>
    <t>Понедельник-пятница: 9:00-17:00. Суббота: 9:00-14:00. Воскресенье: выходной</t>
  </si>
  <si>
    <t>8 (812) 500-94-89</t>
  </si>
  <si>
    <t>priemlgu@lengu.ru</t>
  </si>
  <si>
    <t>Лимнологический институт Сибирского отделения Российской академии наук</t>
  </si>
  <si>
    <t>1023801757540</t>
  </si>
  <si>
    <t>lomakina@lin.irk.ru</t>
  </si>
  <si>
    <t>664033, Иркутск, Улан-Баторская, 3</t>
  </si>
  <si>
    <t>Понедельник-пятница: 9.00-18.00 обед 12.00-13.00 суббота и воскресенье: выходной</t>
  </si>
  <si>
    <t>8(3952) 42-30-53</t>
  </si>
  <si>
    <t>Липецкий государственный педагогический университет имени П.П. Семенова-Тян-Шанского</t>
  </si>
  <si>
    <t>1024840852717</t>
  </si>
  <si>
    <t>Липецк</t>
  </si>
  <si>
    <t>398020, Липецк, Ленина, 42</t>
  </si>
  <si>
    <t>+7 (4742) 56-67-66</t>
  </si>
  <si>
    <t>priem@lspu-lipetsk.ru</t>
  </si>
  <si>
    <t>Липецкий государственный технический университет</t>
  </si>
  <si>
    <t>1024840843631</t>
  </si>
  <si>
    <t>398055, Липецк, ул. Московская, д. 30</t>
  </si>
  <si>
    <t>понедельник-пятница: 9:00-16:00; суббота: 9:00-13:00; воскресенье: выходной</t>
  </si>
  <si>
    <t>8(4742) 328-223</t>
  </si>
  <si>
    <t>abiturient@stu.lipetsk.ru</t>
  </si>
  <si>
    <t>Литературный институт имени А.М. Горького</t>
  </si>
  <si>
    <t>1027739212324</t>
  </si>
  <si>
    <t>Северо-Восточный административный округ</t>
  </si>
  <si>
    <t>123104, Северо-Восточный административный округ, Тверской бульвар, 25</t>
  </si>
  <si>
    <t>понедельник-четверг: 10:00-18:00 пятница: 10:00-17:00 суббота и воскресенье: выходной</t>
  </si>
  <si>
    <t>+79859607058</t>
  </si>
  <si>
    <t>priem@litinstitut.ru</t>
  </si>
  <si>
    <t>Луганская государственная академия культуры и искусств имени Михаила Матусовского</t>
  </si>
  <si>
    <t>1229400075453</t>
  </si>
  <si>
    <t>pk-lgaki@mail.ru</t>
  </si>
  <si>
    <t>Луганск</t>
  </si>
  <si>
    <t>291001, Луганск, Красная площадь, 7</t>
  </si>
  <si>
    <t>Понедельник-пятница: 8:00-18:00 суббота: 8:00-14:00 воскресенье: выходной</t>
  </si>
  <si>
    <t>+79591144217</t>
  </si>
  <si>
    <t>Луганский государственный аграрный университет имени К.Е. Ворошилова</t>
  </si>
  <si>
    <t>1229400036458</t>
  </si>
  <si>
    <t>291008, Луганск, Городок ЛНАУ, 1</t>
  </si>
  <si>
    <t>понедельник-пятница: 8:00-16:30, суббота: 8:00-14:00, воскресенье: выходной</t>
  </si>
  <si>
    <t>+79592659090</t>
  </si>
  <si>
    <t>abit@lgau.ru, rector@lnau.su</t>
  </si>
  <si>
    <t>Луганский государственный медицинский университет имени Святителя Луки</t>
  </si>
  <si>
    <t>1229400032806</t>
  </si>
  <si>
    <t>291045, Луганск, квартал 50-летия Обороны Луганска, 1</t>
  </si>
  <si>
    <t>понедельник-пятница: 9:00-16:00; суббота 9:00-13:00</t>
  </si>
  <si>
    <t>79592631010</t>
  </si>
  <si>
    <t>priem.lgmu@mail.ru</t>
  </si>
  <si>
    <t>Луганский государственный педагогический университет</t>
  </si>
  <si>
    <t>1229400052727</t>
  </si>
  <si>
    <t>abiturient@lgpu.org</t>
  </si>
  <si>
    <t>ЛУГАНСК</t>
  </si>
  <si>
    <t>291011, ЛУГАНСК, ОБОРОННАЯ, 2</t>
  </si>
  <si>
    <t>понедельник-четверг: 8:00-17:00; пятница: 8:00-16:00; суббота 8:00-12:00; воскресенье: выходной</t>
  </si>
  <si>
    <t>+7 (857) 234-35-71, +7 (959) 104-13-33</t>
  </si>
  <si>
    <t>Луганский государственный университет имени Владимира Даля</t>
  </si>
  <si>
    <t>1229400026019</t>
  </si>
  <si>
    <t>291034, Луганск, Квартал Молодёжный, 20а</t>
  </si>
  <si>
    <t>Понедельник - пятница: 8:00 - 16:30</t>
  </si>
  <si>
    <t>+78572357535</t>
  </si>
  <si>
    <t>abiturient.dahl@yandex.ru</t>
  </si>
  <si>
    <t>Магнитогорская государственная консерватория (академия) имени М.И. Глинки</t>
  </si>
  <si>
    <t>1027402233187</t>
  </si>
  <si>
    <t>korotichevai@mail.ru</t>
  </si>
  <si>
    <t>Магнитогорск</t>
  </si>
  <si>
    <t>455036, Магнитогорск, Грязнова, 22</t>
  </si>
  <si>
    <t>+73519217272</t>
  </si>
  <si>
    <t>Магнитогорский государственный технический университет им. Г.И. Носова</t>
  </si>
  <si>
    <t>1027402065437</t>
  </si>
  <si>
    <t>455000, Магнитогорск, проспект Ленина, 38</t>
  </si>
  <si>
    <t>Понедельник-пятница: 8:00-17:00 Суббота-воскресенье: 9:00-13:00</t>
  </si>
  <si>
    <t>8-800-100-1934</t>
  </si>
  <si>
    <t>priem@magtu.ru</t>
  </si>
  <si>
    <t>Майкопский государственный технологический университет</t>
  </si>
  <si>
    <t>1020100698595</t>
  </si>
  <si>
    <t>priemkom@mkgtu.ru</t>
  </si>
  <si>
    <t>385000, Майкоп, Первомайская, 191</t>
  </si>
  <si>
    <t>понедельник-пятница: 9:00-17:00, суббота: 9:00-12:00, воскресенье: выходной</t>
  </si>
  <si>
    <t>+78772523008</t>
  </si>
  <si>
    <t>Марийский государственный университет</t>
  </si>
  <si>
    <t>1021200783856</t>
  </si>
  <si>
    <t>Республика Марий Эл</t>
  </si>
  <si>
    <t>prk@marsu.ru</t>
  </si>
  <si>
    <t>Йошкар-Ола</t>
  </si>
  <si>
    <t>424000, Йошкар-Ола, площадь Ленина, 1</t>
  </si>
  <si>
    <t>понедельник- пятница: 8.00-17.00 суббота 9.00-13.00 воскресенье: выходной</t>
  </si>
  <si>
    <t>8(8362) 64-15-41, 68-80-88</t>
  </si>
  <si>
    <t>Мариупольский государственный университет имени А.И. Куинджи</t>
  </si>
  <si>
    <t>1229300139969</t>
  </si>
  <si>
    <t>enrollment@mgumariupol.ru</t>
  </si>
  <si>
    <t>Мариуполь</t>
  </si>
  <si>
    <t>287537, Мариуполь, пр-кт Строителей, 129 А</t>
  </si>
  <si>
    <t>Понедельник-пятница: 08:30-17:00</t>
  </si>
  <si>
    <t>+7 (949) 723-07-53</t>
  </si>
  <si>
    <t>Математический институт им. В.А. Стеклова Российской академии наук</t>
  </si>
  <si>
    <t>1027739665436</t>
  </si>
  <si>
    <t>atavit@mi-ras.ru</t>
  </si>
  <si>
    <t>119991, Москва, Губкина, 8</t>
  </si>
  <si>
    <t>понедельник-четверг: 10:00-17:00, пятница 10:00-16:00, суббота и воскресенье - выходной</t>
  </si>
  <si>
    <t>+7(499)941-03-61</t>
  </si>
  <si>
    <t>Медиа Институт Телевидения и Радиовещания «Останкино»</t>
  </si>
  <si>
    <t>1197700007020</t>
  </si>
  <si>
    <t>109029, Москва, Сибирский проезд, 2</t>
  </si>
  <si>
    <t>понедельник-пятница: 10:00-19:30, суббота: 10:00-17:00</t>
  </si>
  <si>
    <t>+7(495)660-33-09</t>
  </si>
  <si>
    <t>pk@mitro-tv.ru</t>
  </si>
  <si>
    <t>Медико-генетический научный центр имени академика Н.П. Бочкова</t>
  </si>
  <si>
    <t>1027739609480</t>
  </si>
  <si>
    <t>115478, Москва, Москворечье, 1</t>
  </si>
  <si>
    <t>Понедельник-четверг: 10:00-16.00; пятница: 10.00-15.00</t>
  </si>
  <si>
    <t>8-495-320-61-40</t>
  </si>
  <si>
    <t>dpo@med-gen.ru</t>
  </si>
  <si>
    <t>МЕДИЦИНСКИЙ ИНСТИТУТ ИМ. ЗЕРНОВА М.С.</t>
  </si>
  <si>
    <t>1242600000158</t>
  </si>
  <si>
    <t>mip026@yandex.ru</t>
  </si>
  <si>
    <t>357601, Ессентуки, Гагарина, 23</t>
  </si>
  <si>
    <t>Понедельник- пятница 9:00- 17:00, суббота и воскресенье- выходной</t>
  </si>
  <si>
    <t>+79280051928</t>
  </si>
  <si>
    <t>Медицинский университет «Реавиз»</t>
  </si>
  <si>
    <t>1026301420716</t>
  </si>
  <si>
    <t>Самара</t>
  </si>
  <si>
    <t>443001, Самара, Чапаевская, 227</t>
  </si>
  <si>
    <t>С 20 июня по 25 июля 2026 года: понедельник – пятница с 9.00 до 16.00, суббота – с 9.00 до 13.00, воскресенье: выходной. С 26 июля по 22 августа 2026 года: понедельник – пятница с 10.00 до 16.00, суббота, воскресенье: выходной.</t>
  </si>
  <si>
    <t>+7(962)607-51-52</t>
  </si>
  <si>
    <t>priem@reaviz.com</t>
  </si>
  <si>
    <t>Медицинский университет МГИМО-МЕД</t>
  </si>
  <si>
    <t>1215000064597</t>
  </si>
  <si>
    <t>Лапино</t>
  </si>
  <si>
    <t>143081, Лапино, -, 111</t>
  </si>
  <si>
    <t>понедельник-пятница: 9:00-17:30, суббота и воскресенье: выходной</t>
  </si>
  <si>
    <t>+74956300647</t>
  </si>
  <si>
    <t>med@id.mgimo.ru</t>
  </si>
  <si>
    <t>Международная академия бизнеса и новых технологий (МУБиНТ)</t>
  </si>
  <si>
    <t>1027600680469</t>
  </si>
  <si>
    <t>8-961-025-29-37</t>
  </si>
  <si>
    <t>priem@mubint.ru</t>
  </si>
  <si>
    <t>Ярославль</t>
  </si>
  <si>
    <t>150003, Ярославль, Советская, 80</t>
  </si>
  <si>
    <t>понедельник-четверг: 08:30-17:30 пятница: 08:30-16:30 суббота: 09:00-14:00 воскресенье: выходной</t>
  </si>
  <si>
    <t>Международная академия бизнеса и управления</t>
  </si>
  <si>
    <t>1157700004648</t>
  </si>
  <si>
    <t>129594, Москва, 5-й проезд Марьиной рощи, 15А</t>
  </si>
  <si>
    <t>понедельник-пятница: 9:00-18.00 суббота и воскресенье: выходной</t>
  </si>
  <si>
    <t>8-800-302-26-32</t>
  </si>
  <si>
    <t>priem@mabiu.ru</t>
  </si>
  <si>
    <t>Международная академия управления и права</t>
  </si>
  <si>
    <t>1186952008264</t>
  </si>
  <si>
    <t>info@maup.su</t>
  </si>
  <si>
    <t>111024, Город, Авиамоторная, 50</t>
  </si>
  <si>
    <t>понедельник-пятница: 9.00-18.00; суббота и воскресенье: выходной</t>
  </si>
  <si>
    <t>8-985-226-85-22</t>
  </si>
  <si>
    <t>Международная Ветеринарная Академия</t>
  </si>
  <si>
    <t>1205000036713</t>
  </si>
  <si>
    <t>140090, Дзержинский, Зеленая, 16</t>
  </si>
  <si>
    <t>понедельник-пятница 10.00-17.30, суббота 10.00-13.30, воскресенье - выходной</t>
  </si>
  <si>
    <t>8(495)661-55-02</t>
  </si>
  <si>
    <t>ano_vo_mva@1vet.ru</t>
  </si>
  <si>
    <t>Международная полицейская академия</t>
  </si>
  <si>
    <t>1197154018137</t>
  </si>
  <si>
    <t>Тула</t>
  </si>
  <si>
    <t>300026, Тула, Рязанская, 1</t>
  </si>
  <si>
    <t>понедельник-четверг: 8:00-18:00 пятница: 8:00-17:00 суббота и воскресенье: выходной</t>
  </si>
  <si>
    <t>8(4872)700-353</t>
  </si>
  <si>
    <t>abitur@mpa71.ru</t>
  </si>
  <si>
    <t>Международный банковский институт имени Анатолия Собчака</t>
  </si>
  <si>
    <t>1027809183995</t>
  </si>
  <si>
    <t>191023, Санкт-Петербург, Невский проспект, 60</t>
  </si>
  <si>
    <t>понедельник-пятница: 9:30-18:00 суббота и воскресенье: выходной</t>
  </si>
  <si>
    <t>+7 812 494-05-05, 8 (800) 100-06-44</t>
  </si>
  <si>
    <t>priemka@ibispb.ru</t>
  </si>
  <si>
    <t>Международный инновационный университет</t>
  </si>
  <si>
    <t>1022302921080</t>
  </si>
  <si>
    <t>Сочи</t>
  </si>
  <si>
    <t>354000, Сочи, Орджоникидзе, 10А</t>
  </si>
  <si>
    <t>Понедельник-пятница: 9-00 -17-00</t>
  </si>
  <si>
    <t>8 (800) 350-08-29</t>
  </si>
  <si>
    <t>sochi.priem@mail.ru</t>
  </si>
  <si>
    <t>Международный институт дизайна и сервиса</t>
  </si>
  <si>
    <t>1027402323080</t>
  </si>
  <si>
    <t>454014, Челябинск, Ворошилова, 12</t>
  </si>
  <si>
    <t>понедельник - пятница: 9.00-17.00 суббота: 9.00-13.00 воскресенье: выходной</t>
  </si>
  <si>
    <t>(351) 216-10-50</t>
  </si>
  <si>
    <t>pk@midis.ru</t>
  </si>
  <si>
    <t>Международный институт инновационного развития</t>
  </si>
  <si>
    <t>1240500009001</t>
  </si>
  <si>
    <t>368600, Дербент, Фаталихана, 1</t>
  </si>
  <si>
    <t>+7 (800) 600-99-32 +7 (928) 872-02-02</t>
  </si>
  <si>
    <t>info@miir.su priem.miir@mail.ru</t>
  </si>
  <si>
    <t>Международный институт компьютерных технологий</t>
  </si>
  <si>
    <t>1153600000806</t>
  </si>
  <si>
    <t>394026, Воронеж, Солнечная, 29б</t>
  </si>
  <si>
    <t>+7432802535</t>
  </si>
  <si>
    <t>priem-iict@mail.ru</t>
  </si>
  <si>
    <t>Международный институт экономики и права</t>
  </si>
  <si>
    <t>1027700063720</t>
  </si>
  <si>
    <t>105082, Москва, Рубцовская набережная, 3</t>
  </si>
  <si>
    <t>8 (800) 775-58-58</t>
  </si>
  <si>
    <t>priem@miep.ru</t>
  </si>
  <si>
    <t>МЕЖДУНАРОДНЫЙ ОТКРЫТЫЙ ИНСТИТУТ</t>
  </si>
  <si>
    <t>1225000116220</t>
  </si>
  <si>
    <t>nochuvomoi@mail.ru</t>
  </si>
  <si>
    <t>Одинцово</t>
  </si>
  <si>
    <t>143003, Одинцово, ул Маршала Неделина, 6а</t>
  </si>
  <si>
    <t>+7 495 411 28 41, + 7 968 071 72 67</t>
  </si>
  <si>
    <t>Международный университет психолого-педагогических инноваций</t>
  </si>
  <si>
    <t>1137799011393</t>
  </si>
  <si>
    <t>priem@muppi.ru</t>
  </si>
  <si>
    <t>109240, Москва, Гончарная, 15</t>
  </si>
  <si>
    <t>Понедельник-четверг: 10:00- 18:00 пятница:10:00 -17:00 суббота и воскресенье: выходной</t>
  </si>
  <si>
    <t>+7 495 777 89 91</t>
  </si>
  <si>
    <t>Международный юридический институт</t>
  </si>
  <si>
    <t>1027700035989</t>
  </si>
  <si>
    <t>127427, Москва, Кашенкин Луг, 4</t>
  </si>
  <si>
    <t>Понедельник-пятница: с 10:00-18:00, суббота с 10:00-14:00; воскресенье: выходной</t>
  </si>
  <si>
    <t>Номер телефона приемной комиссии: 8-958-100-89-58</t>
  </si>
  <si>
    <t>priem@lawinst.ru</t>
  </si>
  <si>
    <t>Межрегиональный открытый социальный институт</t>
  </si>
  <si>
    <t>1061215027092</t>
  </si>
  <si>
    <t>pr@mosi.ru</t>
  </si>
  <si>
    <t>424007, Йошкар-Ола, Прохорова, 28</t>
  </si>
  <si>
    <t>понедельник-пятница: 8:00-18:00 суббота: 9:00-13:00 воскресенье: выходной</t>
  </si>
  <si>
    <t>+78362380808</t>
  </si>
  <si>
    <t>Мелитопольский государственный университет</t>
  </si>
  <si>
    <t>1229000019313</t>
  </si>
  <si>
    <t>Мелитополь</t>
  </si>
  <si>
    <t>272312, Мелитополь, Проспект Богдана Хмельницкого, 18</t>
  </si>
  <si>
    <t>Понедельник -пятница: 8:00 - 16-45. Суббота и воскресенье - выходной</t>
  </si>
  <si>
    <t>+79900215716</t>
  </si>
  <si>
    <t>priyomnaya_komissiya@mgu-mlt.ru</t>
  </si>
  <si>
    <t>МИРЭА - Российский технологический университет</t>
  </si>
  <si>
    <t>1037739552740</t>
  </si>
  <si>
    <t>119454, Москва, проспект Вернадского, 78</t>
  </si>
  <si>
    <t>с 20 июня 2026 г. по 31 августа 2026 г. - понедельник-пятница: 10:00-17:00, суббота: 10:00-15:00, воскресенье: выходной в остальные периоды - понедельник-пятница: 10:00-17:00, суббота и воскресенье - выходной</t>
  </si>
  <si>
    <t>+7-499-322-20-30</t>
  </si>
  <si>
    <t>pk@mirea.ru</t>
  </si>
  <si>
    <t>Миссионерский институт</t>
  </si>
  <si>
    <t>1096600002630</t>
  </si>
  <si>
    <t>620026, Екатеринбург, Карла Маркса, 12</t>
  </si>
  <si>
    <t>понедельник-пятница: 10:00-19:00 суббота и воскресенье: выходной</t>
  </si>
  <si>
    <t>+73432693036</t>
  </si>
  <si>
    <t>priem@misiem.ru</t>
  </si>
  <si>
    <t>Мичуринский государственный аграрный университет</t>
  </si>
  <si>
    <t>1026801063508</t>
  </si>
  <si>
    <t>osipovich@mgau.ru</t>
  </si>
  <si>
    <t>Мичуринск</t>
  </si>
  <si>
    <t>393760, Мичуринск, Интернациональная, 101</t>
  </si>
  <si>
    <t>понедельник-пятница: 8.00-17.00 суббота и воскресенье: выходной</t>
  </si>
  <si>
    <t>+7 (47545) 3-00-07</t>
  </si>
  <si>
    <t>Мордовский государственный педагогический университет имени М.Е. Евсевьева</t>
  </si>
  <si>
    <t>1021301115791</t>
  </si>
  <si>
    <t>Республика Мордовия</t>
  </si>
  <si>
    <t>8(8342) 33-93-90</t>
  </si>
  <si>
    <t>prcom@mordgpi.ru</t>
  </si>
  <si>
    <t>Саранск</t>
  </si>
  <si>
    <t>430007, Саранск, ул. Студенческая, 11</t>
  </si>
  <si>
    <t>Понедельник-пятница: 9:00-17:00; суббота: 9:00-13:00; воскресенье: выходной</t>
  </si>
  <si>
    <t>Морской гидрофизический институт РАН</t>
  </si>
  <si>
    <t>1159204018467</t>
  </si>
  <si>
    <t>299011, Севастополь, Капитанская, 2</t>
  </si>
  <si>
    <t>+78692541889</t>
  </si>
  <si>
    <t>asp@mhi-ras.ru</t>
  </si>
  <si>
    <t>Морской государственный университет имени адмирала Г.И. Невельского</t>
  </si>
  <si>
    <t>1022502259504</t>
  </si>
  <si>
    <t>690059, Владивосток, Верхнепортовая, 50а</t>
  </si>
  <si>
    <t>В период с 20 июня по 31 августа: рабочие дни: 9:00 – 18:00 суббота: 9:00 – 14:00 выходной: воскресенье В остальной период: рабочие дни: с 9:00 до 17:00, выходной: суббота, воскресенье.</t>
  </si>
  <si>
    <t>+7(423)230-12-50</t>
  </si>
  <si>
    <t>abiturient@msun.ru</t>
  </si>
  <si>
    <t>Московская академия предпринимательства</t>
  </si>
  <si>
    <t>1027739402316</t>
  </si>
  <si>
    <t>125319, Москва, Планетная, 36</t>
  </si>
  <si>
    <t>09:00-18:00</t>
  </si>
  <si>
    <t>+7 (495) 225-49-88</t>
  </si>
  <si>
    <t>rshol@mosap.ru</t>
  </si>
  <si>
    <t>Московская городская онкологическая больница № 62</t>
  </si>
  <si>
    <t>1035004451910</t>
  </si>
  <si>
    <t>Истра</t>
  </si>
  <si>
    <t>143515, Истра, -, 27</t>
  </si>
  <si>
    <t>понедельник-пятница: 08:00-17:00 суббота и воскресенье: выходной</t>
  </si>
  <si>
    <t>8(495)536-01-37</t>
  </si>
  <si>
    <t>edu62@zdrav.mos.ru</t>
  </si>
  <si>
    <t>Московская государственная академия ветеринарной медицины и биотехнологии – МВА имени К.И. Скрябина</t>
  </si>
  <si>
    <t>1037739216790</t>
  </si>
  <si>
    <t>priem_kom@mgavm.ru</t>
  </si>
  <si>
    <t>109472, Москва, ул. Академика Скрябина, 23</t>
  </si>
  <si>
    <t>8 (495) 414-11-25</t>
  </si>
  <si>
    <t>Московская государственная академия физической культуры</t>
  </si>
  <si>
    <t>1035005018510</t>
  </si>
  <si>
    <t>abiturient@mgafk.ru</t>
  </si>
  <si>
    <t>Малаховка</t>
  </si>
  <si>
    <t>140032, Малаховка, Шоссейная, 33</t>
  </si>
  <si>
    <t>понедельник - четверг 9:00-17:30 пятница: 9:00-16:30 суббота и воскресенье: выходной</t>
  </si>
  <si>
    <t>+7 (999) 807-43-11</t>
  </si>
  <si>
    <t>Московская государственная академия хореографии</t>
  </si>
  <si>
    <t>1027739745439</t>
  </si>
  <si>
    <t>119146, Москва, 2-ая Фрунзенская, 5</t>
  </si>
  <si>
    <t>понедельник-четверг: 9:00 - 18:00, пятница: 9:00 - 16:45, обед: 12:00 - 12:45</t>
  </si>
  <si>
    <t>+7 (495) 609-14-56</t>
  </si>
  <si>
    <t>zaochnoemgah@mail.ru</t>
  </si>
  <si>
    <t>Московская государственная консерватория имени П.И.Чайковского</t>
  </si>
  <si>
    <t>1037739263352</t>
  </si>
  <si>
    <t>M.Zhuravleva@mgcons.ru</t>
  </si>
  <si>
    <t>125009, Москва, Большая Никитская, 13</t>
  </si>
  <si>
    <t>понедельник-пятница 11:00-17:00, обеденный перерыв 13:00-14:00, суббота и воскресенье - выходной.</t>
  </si>
  <si>
    <t>+7 (495) 690-60-92</t>
  </si>
  <si>
    <t>Московская международная академия</t>
  </si>
  <si>
    <t>1027739634735</t>
  </si>
  <si>
    <t>129075, Москва, Новомосковская, 15А</t>
  </si>
  <si>
    <t>8(495)120-10-22</t>
  </si>
  <si>
    <t>priem@mmamos.ru</t>
  </si>
  <si>
    <t>Московская международная высшая школа бизнеса «МИРБИС» (Институт)</t>
  </si>
  <si>
    <t>1167700057359</t>
  </si>
  <si>
    <t>109147, Москва, Марксистская, 34</t>
  </si>
  <si>
    <t>Институт МИРБИС не осуществляет прием на программы высшего образования в 2025-2026 учебном году. Информационное письмо: https://mirbis.ru/sveden/files/rii/1-isx-8_ot_17.01.2025_Informacionnoe_pisymo.pdf</t>
  </si>
  <si>
    <t>Московский авиационный институт (национальный исследовательский университет)</t>
  </si>
  <si>
    <t>1037739180820</t>
  </si>
  <si>
    <t>125993, Москва, Волоколамское ш., 4, Волоколамское ш., 4</t>
  </si>
  <si>
    <t>+7 499 110-16-71</t>
  </si>
  <si>
    <t>priem@mai.ru</t>
  </si>
  <si>
    <t>Московский автомобильно-дорожный государственный технический университет (МАДИ)</t>
  </si>
  <si>
    <t>1037739587280</t>
  </si>
  <si>
    <t>125319, Москва, Ленинградский проспект, 64</t>
  </si>
  <si>
    <t>понедельник-пятница 10:00-17:30 суббота и воскресенье: выходной</t>
  </si>
  <si>
    <t>8 499 346-01-69</t>
  </si>
  <si>
    <t>priem26@madi.ru</t>
  </si>
  <si>
    <t>Московский архитектурный институт (государственная академия)</t>
  </si>
  <si>
    <t>1027700471039</t>
  </si>
  <si>
    <t>107031, Москва, Рождественка, 11/4</t>
  </si>
  <si>
    <t>понедельник-пятница: 11:00-17:00</t>
  </si>
  <si>
    <t>8 (495) 625 74 00 8 (495) 621 78 28</t>
  </si>
  <si>
    <t>prk@markhi.ru</t>
  </si>
  <si>
    <t>Московский городской педагогический университет</t>
  </si>
  <si>
    <t>1027700141996</t>
  </si>
  <si>
    <t>129226, Москва, 2-ой Сельскохозяйственный проезд, 4</t>
  </si>
  <si>
    <t>На программы бакалавриата, базового высшего образования, магистратуры, специализированного высшего образования график работы: понедельник – пятница с 10:00 до 18:00 (без обеда). Суббота и воскресенье – выходные дни. Начиная с 27 июня График работы корректируется на следующий: понедельник – пятница с 10:00 до 18:00 (без обеда). Суббота с 10:00 до 14:00 (без обеда). Воскресенье – выходной день. На программы аспирантуры, ассистентуры-стажировки: понедельник - пятница - с 10:00 до 17:00 (без обеда). Суббота и воскресенье – выходные дни</t>
  </si>
  <si>
    <t>+7  495  045−04–50</t>
  </si>
  <si>
    <t>priem@mgpu.ru</t>
  </si>
  <si>
    <t>Московский городской университет управления Правительства Москвы имени Ю.М. Лужкова</t>
  </si>
  <si>
    <t>1027700362634</t>
  </si>
  <si>
    <t>107045, Москва, Сретенка, 28</t>
  </si>
  <si>
    <t>понедельник-пятница: 9:30 - 18:30, суббота и воскресенье: выходной</t>
  </si>
  <si>
    <t>8(495) 957-91-32</t>
  </si>
  <si>
    <t>priem@mguu.ru</t>
  </si>
  <si>
    <t>Московский государственный академический художественный институт имени В.И. Сурикова при Российской академии художеств</t>
  </si>
  <si>
    <t>1027700136573</t>
  </si>
  <si>
    <t>postupi-mgahi@mail.ru</t>
  </si>
  <si>
    <t>109004, Москва, Товарищеский переулок, 30</t>
  </si>
  <si>
    <t>понедельник-пятница: 10:00-17:00; суббота и воскресенье: выходной</t>
  </si>
  <si>
    <t>84959120036</t>
  </si>
  <si>
    <t>Московский государственный институт культуры</t>
  </si>
  <si>
    <t>1035009552324</t>
  </si>
  <si>
    <t>Химки</t>
  </si>
  <si>
    <t>141406, Химки, Библиотечная, 7</t>
  </si>
  <si>
    <t>Понедельник-четверг с 09.30 до 18.30, пятница до 17.15, суббота и воскресенье выходной</t>
  </si>
  <si>
    <t>+7 (495) 781-56-63</t>
  </si>
  <si>
    <t>priem@mgik.org</t>
  </si>
  <si>
    <t>Московский государственный институт международных отношений (университет) Министерства иностранных дел Российской Федерации</t>
  </si>
  <si>
    <t>1037739194217</t>
  </si>
  <si>
    <t>119454, Москва, проспект Вернадского, 76</t>
  </si>
  <si>
    <t>понедельник - четверг: 10.00-18.00 пятница: 10.00-17.00 суббота и воскресенье: выходной</t>
  </si>
  <si>
    <t>+7(495)229-54-73</t>
  </si>
  <si>
    <t>priem@id.mgimo.ru</t>
  </si>
  <si>
    <t>Московский государственный институт музыки имени А.Г. Шнитке</t>
  </si>
  <si>
    <t>1037739249460</t>
  </si>
  <si>
    <t>123060, Москва, Маршала Соколовского, 10</t>
  </si>
  <si>
    <t>понедельник - пятница: 10.00-18.00 суббота и воскресенье: выходной</t>
  </si>
  <si>
    <t>(499) 194-79-65</t>
  </si>
  <si>
    <t>priem-mgim@culture.mos.ru</t>
  </si>
  <si>
    <t>Московский государственный лингвистический университет</t>
  </si>
  <si>
    <t>1027700470027</t>
  </si>
  <si>
    <t>+7 (495) 637-55-97</t>
  </si>
  <si>
    <t>119034, Москва, Остоженка, 38</t>
  </si>
  <si>
    <t>Понедельник-четверг: 9:00-17:30 пятница: 9:00-16:30 суббота и воскресенье: выходной</t>
  </si>
  <si>
    <t>prm@linguanet.ru</t>
  </si>
  <si>
    <t>Московский государственный психолого-педагогический университет</t>
  </si>
  <si>
    <t>1027700479938</t>
  </si>
  <si>
    <t>127051, Москва, Сретенка, 29</t>
  </si>
  <si>
    <t>понедельник-четверг: 09:00-18:00 пятница: 09:00-16:45 суббота и воскресенье: выходной</t>
  </si>
  <si>
    <t>+7-495-822-32-52</t>
  </si>
  <si>
    <t>priem@mgppu.ru</t>
  </si>
  <si>
    <t>Федеральное агентство воздушного транспорта (Росавиация)</t>
  </si>
  <si>
    <t>Московский государственный технический университет гражданской авиации</t>
  </si>
  <si>
    <t>1027700116950</t>
  </si>
  <si>
    <t>125493, Москва, б-р Кронштадтский, 20</t>
  </si>
  <si>
    <t>8 (495) 647-30-00</t>
  </si>
  <si>
    <t>pk@mstuca.ru</t>
  </si>
  <si>
    <t>Московский государственный технический университет имени Н.Э. Баумана (национальный исследовательский университет)</t>
  </si>
  <si>
    <t>1027739051779</t>
  </si>
  <si>
    <t>105005, Москва, ул. 2-я Бауманская, 5</t>
  </si>
  <si>
    <t>Пн-пт с 10:00 до 18:00</t>
  </si>
  <si>
    <t>84992636541</t>
  </si>
  <si>
    <t>abiturient@bmstu.ru</t>
  </si>
  <si>
    <t>Московский государственный технологический университет «СТАНКИН»</t>
  </si>
  <si>
    <t>1037700246451</t>
  </si>
  <si>
    <t>127055, Москва, Вадковский переулок, 3а</t>
  </si>
  <si>
    <t>понедельник-пятница: 10:00-18:00 суббота и воскресенье: 10:00-15:00</t>
  </si>
  <si>
    <t>+74999733849</t>
  </si>
  <si>
    <t>abitur@stankin.ru</t>
  </si>
  <si>
    <t>Московский государственный университет геодезии и картографии</t>
  </si>
  <si>
    <t>1027700350699</t>
  </si>
  <si>
    <t>pk@miigaik.ru</t>
  </si>
  <si>
    <t>105064, Москва, Гороховский переулок, 4</t>
  </si>
  <si>
    <t>Понедельник-пятница: 10:00-18:00 суббота: 10:00-14:00 воскресенье: выходной</t>
  </si>
  <si>
    <t>84992671545</t>
  </si>
  <si>
    <t>Московский государственный университет имени М.В.Ломоносова</t>
  </si>
  <si>
    <t>1037700258694</t>
  </si>
  <si>
    <t>119991, Москва, Ленинские Горы, 1</t>
  </si>
  <si>
    <t>+7(495)939-33-98</t>
  </si>
  <si>
    <t>cpk@org.msu.ru</t>
  </si>
  <si>
    <t>Московский государственный университет спорта и туризма</t>
  </si>
  <si>
    <t>1027739299697</t>
  </si>
  <si>
    <t>117519, Москва, Кировоградская, 21</t>
  </si>
  <si>
    <t>понедельник-четверг: 9:30-17:30 пятница: 9:30-16:30 суббота и воскресенье: выходной</t>
  </si>
  <si>
    <t>+74953888488</t>
  </si>
  <si>
    <t>priem@mgusit.ru</t>
  </si>
  <si>
    <t>Московский государственный университет технологий и управления имени К.Г. Разумовского (Первый казачий университет)</t>
  </si>
  <si>
    <t>1027700200494</t>
  </si>
  <si>
    <t>109004, Москва, Земляной Вал, 73</t>
  </si>
  <si>
    <t>Понедельник-пятница: с 10:00-18:00 , суббота и воскресенье: выходной</t>
  </si>
  <si>
    <t>8(495) 640 54 53</t>
  </si>
  <si>
    <t>priem@mgutm.ru</t>
  </si>
  <si>
    <t>Московский государственный юридический университет имени О.Е. Кутафина (МГЮА)</t>
  </si>
  <si>
    <t>1027739180380</t>
  </si>
  <si>
    <t>125993, Москва, Садовая-Кудринская, 9</t>
  </si>
  <si>
    <t>со вторника по субботу с 09.00 до 17.45, перерыв с 13.00 до 14.00</t>
  </si>
  <si>
    <t>+7 (499) 244-86-60</t>
  </si>
  <si>
    <t>priem@msal.ru</t>
  </si>
  <si>
    <t>Московский гуманитарно-технологический университет – Московский-архитектурно-строительный институт</t>
  </si>
  <si>
    <t>1027700482369</t>
  </si>
  <si>
    <t>109316, Москва, Волгоградский проспект, 32</t>
  </si>
  <si>
    <t>понедельник-пятница: 9:00-18:30 суббота и воскресенье: выходной</t>
  </si>
  <si>
    <t>+7 495 266 68 44</t>
  </si>
  <si>
    <t>pk@masi.ru</t>
  </si>
  <si>
    <t>Московский гуманитарно-экономический университет</t>
  </si>
  <si>
    <t>1027700557500</t>
  </si>
  <si>
    <t>Митино</t>
  </si>
  <si>
    <t>119049, Митино, Ленинский проспект, 8</t>
  </si>
  <si>
    <t>Понедельник-пятница:10:00-18:00 суббота:10:00-15:00</t>
  </si>
  <si>
    <t>+74992374037</t>
  </si>
  <si>
    <t>mgv.pk@mail.ru</t>
  </si>
  <si>
    <t>Московский гуманитарный университет</t>
  </si>
  <si>
    <t>1127799015277</t>
  </si>
  <si>
    <t>111395, Москва, Юности, 5</t>
  </si>
  <si>
    <t>Понедельник - Пятница 9:00 - 13:00; 14:00- 18:00. Суббота и воскресенье: выходной</t>
  </si>
  <si>
    <t>8-499-374-61-51; 8-499-374-78-83</t>
  </si>
  <si>
    <t>priemkom@mosgu.ru</t>
  </si>
  <si>
    <t>Московский инновационный университет</t>
  </si>
  <si>
    <t>1167700056303</t>
  </si>
  <si>
    <t>119017, Москва, Малая Ордынка, 7</t>
  </si>
  <si>
    <t>Понедельник - пятница: 9:00-17:00 Суббота и воскресенье: выходной</t>
  </si>
  <si>
    <t>+7 (495) 953-11-65, 8(800) 250-10-91</t>
  </si>
  <si>
    <t>moscow.priem@mail.ru</t>
  </si>
  <si>
    <t>Московский институт психоанализа</t>
  </si>
  <si>
    <t>1027739764260</t>
  </si>
  <si>
    <t>121170, Москва, Кутузовский проспект, 34</t>
  </si>
  <si>
    <t>понедельник-пятница: 10-00-19-00; суббота и воскресенье: выходные</t>
  </si>
  <si>
    <t>84959332683</t>
  </si>
  <si>
    <t>krylova-yas@inpsycho.ru</t>
  </si>
  <si>
    <t>Московский институт психологии</t>
  </si>
  <si>
    <t>1237700006620</t>
  </si>
  <si>
    <t>m_zubova@mip.institute</t>
  </si>
  <si>
    <t>117105, Москва, шоссе Варшавское, 2</t>
  </si>
  <si>
    <t>понедельник-четверг: 9:00-18:00 пятница: 9:00-16:45 суббота и воскресенье: выходной</t>
  </si>
  <si>
    <t>+7(495)141-23-00</t>
  </si>
  <si>
    <t>Московский институт современного академического образования</t>
  </si>
  <si>
    <t>1157700010588</t>
  </si>
  <si>
    <t>109263, Москва, Текстильщиков 11-я, 7</t>
  </si>
  <si>
    <t>8 (495) 540-57-53 (доб. 02)</t>
  </si>
  <si>
    <t>priem@misaoinst.ru</t>
  </si>
  <si>
    <t>Московский институт технологий и управления</t>
  </si>
  <si>
    <t>1207700217977</t>
  </si>
  <si>
    <t>115114, Москва, набережная Дербеневская, 11</t>
  </si>
  <si>
    <t>понедельник-пятница: 10:00-19:00 суббота: 10:00-15:00 воскресенье: выходной</t>
  </si>
  <si>
    <t>8(495)648-62-23</t>
  </si>
  <si>
    <t>priem@mitu.msk.ru</t>
  </si>
  <si>
    <t>Московский институт экономики, политики и права</t>
  </si>
  <si>
    <t>1027700023174</t>
  </si>
  <si>
    <t>115184, Москва, Климентовский переулок, 1</t>
  </si>
  <si>
    <t>Московский исламский институт</t>
  </si>
  <si>
    <t>1027739216845</t>
  </si>
  <si>
    <t>109382, Москва, проезд Кирова, 12</t>
  </si>
  <si>
    <t>понедельник-четверг: 10:00-16:30 пятница: 10:00-15:30 суббота и воскресенье: выходной</t>
  </si>
  <si>
    <t>+7(969)117-12-12</t>
  </si>
  <si>
    <t>priemmii@yandex.ru</t>
  </si>
  <si>
    <t>Московский клинический научно-исследовательский центр Больница 52 Департамента здравоохранения города Москвы</t>
  </si>
  <si>
    <t>1027739078652</t>
  </si>
  <si>
    <t>125284, Москва, 2-й Боткинский пр-д, 5</t>
  </si>
  <si>
    <t>понедельник-четверг: 9:00-17:30 пятница: 9:00-17:00 суббота и воскресенье: выходной</t>
  </si>
  <si>
    <t>8 (925) 242-52-52</t>
  </si>
  <si>
    <t>gkb52-edu@zdrav.mos.ru</t>
  </si>
  <si>
    <t>Московский медицинский университет «Реавиз»</t>
  </si>
  <si>
    <t>1227700429769</t>
  </si>
  <si>
    <t>117418, г.Москва, ул. Профсоюзная, д. 27</t>
  </si>
  <si>
    <t>8 (800) 600-24-00</t>
  </si>
  <si>
    <t>E-mail: priemmos@reaviz.com</t>
  </si>
  <si>
    <t>Московский международный университет</t>
  </si>
  <si>
    <t>1037739650090</t>
  </si>
  <si>
    <t>125040, Москва, Ленинградский проспект, 17</t>
  </si>
  <si>
    <t>понедельник-пятница с 9:00 до 19:00 без перерыва; суббота с 10:00 до 18:00 без перерыва, воскресенье - выходной</t>
  </si>
  <si>
    <t>+7 (800) 301-09-30</t>
  </si>
  <si>
    <t>info@mmu.ru</t>
  </si>
  <si>
    <t>Московский многопрофильный клинический центр "Коммунарка" Департамента здравоохранения города Москвы</t>
  </si>
  <si>
    <t>1027739691352</t>
  </si>
  <si>
    <t>Москва, вн. тер. г. муниципальный округ Коммунарка, п. Коммунарка</t>
  </si>
  <si>
    <t>108814, Москва, вн. тер. г. муниципальный округ Коммунарка, п. Коммунарка, Сосенский Стан, 8</t>
  </si>
  <si>
    <t>понедельника по четверг (с 9-00 до 17-00), пятницу (с 9-00 до 16-00), суббота (по отдельному приказу заведующего Учебным центром), воскресенье – выходной день</t>
  </si>
  <si>
    <t>+7 (495) 744-07-03 (доб. 31-71, 19-16, 19-14, 11-31)</t>
  </si>
  <si>
    <t>mmcc-sc@zdrav.mos.ru</t>
  </si>
  <si>
    <t>Московский многопрофильный научно-клинический центр имени С.П. Боткина</t>
  </si>
  <si>
    <t>1037739085900</t>
  </si>
  <si>
    <t>понедельник-пятница: 09:00-17:00 суббота и воскресенье: выходной</t>
  </si>
  <si>
    <t>+7 (499) 728-81-78</t>
  </si>
  <si>
    <t>GBUZ-edubotkin@zdrav.mos.ru</t>
  </si>
  <si>
    <t>Московский научно-исследовательский институт эпидемиологии микробиологии им. Г.Н. Габричевского</t>
  </si>
  <si>
    <t>1037739396507</t>
  </si>
  <si>
    <t>opk@gabrich.ru</t>
  </si>
  <si>
    <t>Нет</t>
  </si>
  <si>
    <t>125212, Нет, Адмирала Макарова, 10</t>
  </si>
  <si>
    <t>Понедельник-четверг: 9:30-17:00 пятница:9:30-16:00</t>
  </si>
  <si>
    <t>+74954523689</t>
  </si>
  <si>
    <t>Московский научно-практический центр медицинской реабилитации, восстановительной и спортивной медицины имени С.И. Спасокукоцкого Департамента здравоохранения города Москвы</t>
  </si>
  <si>
    <t>1037739710645</t>
  </si>
  <si>
    <t>DvornikovaOV@zdrav.mos.ru</t>
  </si>
  <si>
    <t>105120, Москва, Земляной Вал, 53</t>
  </si>
  <si>
    <t>Понедельник : 10:00-16:00 , пятница : 10:00-15:00</t>
  </si>
  <si>
    <t>+74957066948</t>
  </si>
  <si>
    <t>Московский научно-практический центр наркологии</t>
  </si>
  <si>
    <t>1057723005009</t>
  </si>
  <si>
    <t>109390, Москва, Люблинская, 37/1</t>
  </si>
  <si>
    <t>9:00-17:30 суббота и воскресенье: выходной</t>
  </si>
  <si>
    <t>8(499)-660-20-56, доб.25-60</t>
  </si>
  <si>
    <t>oop_mnpcn@zdrav.mos.ru</t>
  </si>
  <si>
    <t>Московский областной научно-исследовательский институт акушерства и гинекологии имени академика В.И. Краснопольского</t>
  </si>
  <si>
    <t>1027739745461</t>
  </si>
  <si>
    <t>ymomoniiag@yandex.ru</t>
  </si>
  <si>
    <t>101000, МОСКВА, Покровка, 22-А</t>
  </si>
  <si>
    <t>понедельник -пятница 9:00-15:00</t>
  </si>
  <si>
    <t>8-495-625-63-17</t>
  </si>
  <si>
    <t>Московский областной научно-исследовательский клинический институт им. М. Ф. Владимирского</t>
  </si>
  <si>
    <t>1037739023200</t>
  </si>
  <si>
    <t>129110, Москва, Щепкина, 61/2</t>
  </si>
  <si>
    <t>понедельник-пятница: 10:00-16:00; суббота и воскресенье: выходной</t>
  </si>
  <si>
    <t>+7 (495) 681-32-76</t>
  </si>
  <si>
    <t>mz_moniki_asp@mosreg.ru</t>
  </si>
  <si>
    <t>Московский педагогический государственный университет</t>
  </si>
  <si>
    <t>1027700215344</t>
  </si>
  <si>
    <t>119991, Москва, ул. Малая Пироговская, д. 1</t>
  </si>
  <si>
    <t>Понедельник - четверг: с 10:00 до 18:00 Пятница: с 10:00 до 17:00 Суббота: с 10:00 до 15:00 Воскресенье: выходной день</t>
  </si>
  <si>
    <t>+7(495)438-18-47</t>
  </si>
  <si>
    <t>priem@mpgu.su</t>
  </si>
  <si>
    <t>Московский политехнический университет</t>
  </si>
  <si>
    <t>1167746817810</t>
  </si>
  <si>
    <t>г Москва</t>
  </si>
  <si>
    <t>107023, г Москва, Большая Семеновская, 38</t>
  </si>
  <si>
    <t>Пн-пт: 9:30-18:30; сб: 9:30-15:00; вс: - выходной</t>
  </si>
  <si>
    <t>8 (495) 223-05-22</t>
  </si>
  <si>
    <t>priem@mospolytech.ru</t>
  </si>
  <si>
    <t>Московский психолого-социальный университет</t>
  </si>
  <si>
    <t>1147799014835</t>
  </si>
  <si>
    <t>115191, Москва, 4 Рощинский проезд, 9</t>
  </si>
  <si>
    <t>+7 (495) 198-15-62</t>
  </si>
  <si>
    <t>pk@mpsu.ru</t>
  </si>
  <si>
    <t>Московский региональный социально-экономический институт</t>
  </si>
  <si>
    <t>1025000656966</t>
  </si>
  <si>
    <t>Видное</t>
  </si>
  <si>
    <t>142703, Видное, Школьная, 55а</t>
  </si>
  <si>
    <t>понедельник - воскресенье: 10:00 - 18:00</t>
  </si>
  <si>
    <t>+7 (495) 549-88-08</t>
  </si>
  <si>
    <t>priem_gu@mrsei.ru</t>
  </si>
  <si>
    <t>Московский социально-педагогический институт</t>
  </si>
  <si>
    <t>1037739271899</t>
  </si>
  <si>
    <t>priem@mspi-edu.ru</t>
  </si>
  <si>
    <t>105082, Москва, Фридриха Энгельса, 75</t>
  </si>
  <si>
    <t>Понедельник-пятница: 9:00-18:00, суббота и воскресенье: выходной</t>
  </si>
  <si>
    <t>+74999638071</t>
  </si>
  <si>
    <t>Московский социально-экономический институт</t>
  </si>
  <si>
    <t>1027739791353</t>
  </si>
  <si>
    <t>mseipriemka@mail.ru</t>
  </si>
  <si>
    <t>109472, Москва, Ташкентская, 26</t>
  </si>
  <si>
    <t>понедельник-пятница:10:00-16:00 суббота и воскресенье: выходной</t>
  </si>
  <si>
    <t>8(495)372-20-79</t>
  </si>
  <si>
    <t>Министерство цифрового развития, связи и массовых коммуникаций Российской Федерации (Минкомсвязь России)</t>
  </si>
  <si>
    <t>Московский технический университет связи и информатики</t>
  </si>
  <si>
    <t>1027700117191</t>
  </si>
  <si>
    <t>111024, Москва, Авиамоторная, 8А</t>
  </si>
  <si>
    <t>Понедельник-четверг: 9:00-18:00 Пятница: 9:00-16:45 Суббота и воскресенье: выходной</t>
  </si>
  <si>
    <t>7 (495) 673-36-25</t>
  </si>
  <si>
    <t>pk@mtuci.ru</t>
  </si>
  <si>
    <t>Московский технологический институт</t>
  </si>
  <si>
    <t>1027700479740</t>
  </si>
  <si>
    <t>105318, Москва, Измайловский вал, 2</t>
  </si>
  <si>
    <t>09:00-19:00 (пн-пт); 09:30-18:30 (сб-воскр)</t>
  </si>
  <si>
    <t>8 (800) 100-85-95</t>
  </si>
  <si>
    <t>pk@mti.moscow</t>
  </si>
  <si>
    <t>Московский университет «Синергия»</t>
  </si>
  <si>
    <t>1257700508493</t>
  </si>
  <si>
    <t>125190, -, Мещанская, 9/14</t>
  </si>
  <si>
    <t>+7 (495) 800 10 01</t>
  </si>
  <si>
    <t>dpalazhchenko@synergy.ru</t>
  </si>
  <si>
    <t>Московский университет имени С.Ю. Витте</t>
  </si>
  <si>
    <t>1027739021628</t>
  </si>
  <si>
    <t>115432, Москва, 2-ой Кожуховский проезд, 12</t>
  </si>
  <si>
    <t>понедельник-суббота: 9:00-18:00, воскресенье: выходной</t>
  </si>
  <si>
    <t>+7 800 550 03 63</t>
  </si>
  <si>
    <t>priem@miemp.ru</t>
  </si>
  <si>
    <t>Московский физико-технический институт (национальный исследовательский университет)</t>
  </si>
  <si>
    <t>1027739386135</t>
  </si>
  <si>
    <t>117303, Москва, Керченская, 1 А</t>
  </si>
  <si>
    <t>+7 (495) 408-48-00</t>
  </si>
  <si>
    <t>pk.mail@mipt.ru</t>
  </si>
  <si>
    <t>Московский финансово-юридический университет МФЮА</t>
  </si>
  <si>
    <t>1027739751346</t>
  </si>
  <si>
    <t>115191, Москва, Серпуховский вал, 17</t>
  </si>
  <si>
    <t>понедельник-пятница: 9:00-18:30, суббота и воскресенье: выходной</t>
  </si>
  <si>
    <t>pk@mfua.ru</t>
  </si>
  <si>
    <t>Московский художественно-промышленный институт</t>
  </si>
  <si>
    <t>1027739395188</t>
  </si>
  <si>
    <t>121352, Москва, Давыдковская, 6</t>
  </si>
  <si>
    <t>понедельник-пятница: 10.00–18.00 суббота: 11.00–15.00 (июль-август) воскресенье: выходной</t>
  </si>
  <si>
    <t>8 (499) 289-10-29</t>
  </si>
  <si>
    <t>mhpi2020@mail.ru</t>
  </si>
  <si>
    <t>Московский экономический институт</t>
  </si>
  <si>
    <t>1027700301386</t>
  </si>
  <si>
    <t>8 499 178 08 00</t>
  </si>
  <si>
    <t>priem@noumei.ru</t>
  </si>
  <si>
    <t>109390, Москва, Артюхиной, 6</t>
  </si>
  <si>
    <t>Понедельник – пятница с 10:00 по 18:00; суббота и воскресенье: выходной</t>
  </si>
  <si>
    <t>Музей антропологии и этнографии им. Петра Великого (Кунсткамера) Российской академии наук</t>
  </si>
  <si>
    <t>1037800013206</t>
  </si>
  <si>
    <t>199034, Санкт-Петербург, Университетская набережная, 3</t>
  </si>
  <si>
    <t>Казурова Наталья Валерьевна. 8 (905) 204-81-38</t>
  </si>
  <si>
    <t>kazurova@inbox.ru</t>
  </si>
  <si>
    <t>Мурманский арктический университет</t>
  </si>
  <si>
    <t>1025100848651</t>
  </si>
  <si>
    <t>Мурманская область</t>
  </si>
  <si>
    <t>priem@mauniver.ru</t>
  </si>
  <si>
    <t>Мурманск</t>
  </si>
  <si>
    <t>183010, Мурманск, Спортивная, 13</t>
  </si>
  <si>
    <t>Понедельник-пятница: 10:00-17:00 Суббота: 10:00-14:00 Воскресенье: выходной</t>
  </si>
  <si>
    <t>+7(800)350-12-21</t>
  </si>
  <si>
    <t>Муромский государственный педагогический институт</t>
  </si>
  <si>
    <t>1243300009732</t>
  </si>
  <si>
    <t>Муром</t>
  </si>
  <si>
    <t>602267, Муром, Карла Маркса, 24</t>
  </si>
  <si>
    <t>понедельник-пятница: 8:00-18:00 суббота: 8:00-13:00 воскресенье: выходной</t>
  </si>
  <si>
    <t>8(49234)3-21-03</t>
  </si>
  <si>
    <t>mpcpriem@mail.ru</t>
  </si>
  <si>
    <t>Набережночелнинский государственный педагогический университет</t>
  </si>
  <si>
    <t>1031616001603</t>
  </si>
  <si>
    <t>pk@tatngpi.ru</t>
  </si>
  <si>
    <t>Набережные Челны</t>
  </si>
  <si>
    <t>423806, Набережные Челны, Низаметдинова, 28</t>
  </si>
  <si>
    <t>Понедельник-пятница: 8:00-18:00, суббота: 8:00-14:00, воскресенье: выходной</t>
  </si>
  <si>
    <t>+7(8552)46-97-74</t>
  </si>
  <si>
    <t>Научно-инженерный центр «Надежность и ресурс больших систем и машин» Уральского отделения Российской академии наук</t>
  </si>
  <si>
    <t>1036603488899</t>
  </si>
  <si>
    <t>620049, Екатеринбург, Студенческая, 54-А</t>
  </si>
  <si>
    <t>Научно-исследовательский геотехнологический центр Дальневосточного отделения Российской академии наук</t>
  </si>
  <si>
    <t>1024101031151</t>
  </si>
  <si>
    <t>683002, Петропавловск-Камчатский, Северо-Восточное шоссе, 30</t>
  </si>
  <si>
    <t>Научно-исследовательский и проектно-конструкторский институт информатизации, автоматизации и связи на железнодорожном транспорте</t>
  </si>
  <si>
    <t>1077758841555</t>
  </si>
  <si>
    <t>вн.тер.г.муниципальный округ Таганский</t>
  </si>
  <si>
    <t>107553, вн.тер.г.муниципальный округ Таганский, Нижегородская, 27</t>
  </si>
  <si>
    <t>+74992628883 (12963)</t>
  </si>
  <si>
    <t>as@vniias.ru</t>
  </si>
  <si>
    <t>Научно-исследовательский институт - Республиканский исследовательский научно-консультационный центр экспертизы</t>
  </si>
  <si>
    <t>1037739500479</t>
  </si>
  <si>
    <t>127055, Москва, Образцова, 12</t>
  </si>
  <si>
    <t>Научно-исследовательский институт «Реактивэлектрон»</t>
  </si>
  <si>
    <t>1229300005879</t>
  </si>
  <si>
    <t>283049, Донецк, Бакинских комиссаров, 17А</t>
  </si>
  <si>
    <t>Научно-исследовательский институт биомедицинской химии имени В.Н. Ореховича</t>
  </si>
  <si>
    <t>1027739053792</t>
  </si>
  <si>
    <t>119121, Москва, Погодинская, 10</t>
  </si>
  <si>
    <t>Понедельник - пятница с 9:45 до 18:30, суббота и воскресенье выходной</t>
  </si>
  <si>
    <t>8(499)246-37-31</t>
  </si>
  <si>
    <t>aspirantura@ibmc.msk.ru</t>
  </si>
  <si>
    <t>Научно-исследовательский институт вакцин и сывороток им. И.И. Мечникова</t>
  </si>
  <si>
    <t>1027739628432</t>
  </si>
  <si>
    <t>105064, Москва, Малый Казённый переулок, 5А</t>
  </si>
  <si>
    <t>понедельник-четверг: 11:00-17:00 пятница, суббота и воскресенье: выходной</t>
  </si>
  <si>
    <t>8(495)917-86-51</t>
  </si>
  <si>
    <t>aspirantura@instmech.ru</t>
  </si>
  <si>
    <t>Научно-исследовательский институт глазных болезней имени М.М. Краснова</t>
  </si>
  <si>
    <t>1027700278583</t>
  </si>
  <si>
    <t>119021, Москва, Россолимо, 11</t>
  </si>
  <si>
    <t>понедельник-пятница 10:00-16:00, суббота и воскресенье: выходной</t>
  </si>
  <si>
    <t>+7 (985) 420-06-21</t>
  </si>
  <si>
    <t>omo@niigb.ru</t>
  </si>
  <si>
    <t>Научно-исследовательский институт гриппа имени А.А. Смородинцева</t>
  </si>
  <si>
    <t>1027806881827</t>
  </si>
  <si>
    <t>197376, Санкт-Петербург, Профессора Попова, 15/17</t>
  </si>
  <si>
    <t>понедельник-четверг: 9:00-17:00, пятница: 9:00-16:00 суббота и воскресенье: выходной</t>
  </si>
  <si>
    <t>8 (812) 499-15-13</t>
  </si>
  <si>
    <t>study@influenza.spb.ru</t>
  </si>
  <si>
    <t>Научно-исследовательский институт комплексных проблем гигиены и профессиональных заболеваний</t>
  </si>
  <si>
    <t>1024201475363</t>
  </si>
  <si>
    <t>korsakovatg@nii-kpg.ru</t>
  </si>
  <si>
    <t>654041, Новокузнецк, Кутузова, 23</t>
  </si>
  <si>
    <t>понедельник-четверг: 9:00-16:00 пятница: 9:00-14:30, суббота и воскресенье выходной</t>
  </si>
  <si>
    <t>8(3843) 796-565</t>
  </si>
  <si>
    <t>Научно-исследовательский институт комплексных проблем сердечно-сосудистых заболеваний</t>
  </si>
  <si>
    <t>1034205024479</t>
  </si>
  <si>
    <t>tolkun@kemcardio.ru</t>
  </si>
  <si>
    <t>650002, Кемерово, бульвар имени академика Л.С. Барбараша, 6</t>
  </si>
  <si>
    <t>понедельник-четверг: 8:00-16.30 пятница: 8:00-14:30 суббота и воскресенье: выходной</t>
  </si>
  <si>
    <t>8(384-2) 34-51-66</t>
  </si>
  <si>
    <t>Научно-исследовательский институт медицины труда имени академика Н.Ф. Измерова</t>
  </si>
  <si>
    <t>1027739776954</t>
  </si>
  <si>
    <t>+7 (495) 3667056</t>
  </si>
  <si>
    <t>education@irioh.ru</t>
  </si>
  <si>
    <t>105275, Москва, пр. Буденного, 31</t>
  </si>
  <si>
    <t>Научно-исследовательский институт нейронаук и медицины</t>
  </si>
  <si>
    <t>1025403649831</t>
  </si>
  <si>
    <t>630117, ОБЛАСТЬ НОВОСИБИРСКАЯ, ГОРОД НОВОСИБИРСК, УЛИЦА ТИМАКОВА, 4</t>
  </si>
  <si>
    <t>Понедельник-пятница: 9:00-17:30 суббота и воскресенье: выходной</t>
  </si>
  <si>
    <t>+73833730268</t>
  </si>
  <si>
    <t>aspirantura@neuronm.ru</t>
  </si>
  <si>
    <t>Научно-исследовательский институт неотложной детской хирургии и травматологии - Клиника доктора Рошаля</t>
  </si>
  <si>
    <t>1037789054687</t>
  </si>
  <si>
    <t>uko.ndht@zdrav.mos.ru</t>
  </si>
  <si>
    <t>119180, Москва, Большая Полянка, 22</t>
  </si>
  <si>
    <t>понедельник-пятница: 08:00-16:00; суббота и воскресенье: выходной</t>
  </si>
  <si>
    <t>8-495-633-58-00 доб 1755</t>
  </si>
  <si>
    <t>Научно-исследовательский институт общей патологии и патофизиологии</t>
  </si>
  <si>
    <t>1037700256880</t>
  </si>
  <si>
    <t>125315, Москва, Балтийская, 8</t>
  </si>
  <si>
    <t>Понедельник-пятница: 12:00-17:30 суббота и воскресенье: выходной</t>
  </si>
  <si>
    <t>+74956012187</t>
  </si>
  <si>
    <t>niiopp-aspirant.25@yandex.ru</t>
  </si>
  <si>
    <t>Научно-исследовательский институт организации здравоохранения и медицинского менеджмента Департамента здравоохранения города Москвы</t>
  </si>
  <si>
    <t>1027700495635</t>
  </si>
  <si>
    <t>KuznetsovMY1@zdrav.mos.ru</t>
  </si>
  <si>
    <t>115088, г. Москва, Шарикоподшипниковская, 9</t>
  </si>
  <si>
    <t>+7-905-734-17-14</t>
  </si>
  <si>
    <t>Научно-исследовательский институт перспективных материалов и технологий</t>
  </si>
  <si>
    <t>1027739914025</t>
  </si>
  <si>
    <t>115054, Москва, ул. Малая Пионерская, 12</t>
  </si>
  <si>
    <t>Научно-исследовательский институт по изысканию новых антибиотиков имени Г.Ф. Гаузе</t>
  </si>
  <si>
    <t>1037739566974</t>
  </si>
  <si>
    <t>119021, Москва, Большая Пироговская, 11</t>
  </si>
  <si>
    <t>понедельник-пятница: 11:00-15:00, суббота и воскресенье: выходной</t>
  </si>
  <si>
    <t>+7(499)246-9980</t>
  </si>
  <si>
    <t>instna@sovintel.ru</t>
  </si>
  <si>
    <t>Научно-исследовательский институт пульмонологии</t>
  </si>
  <si>
    <t>1037739125093</t>
  </si>
  <si>
    <t>115682, Москва, Ореховый бульвар, 28</t>
  </si>
  <si>
    <t>84954103900</t>
  </si>
  <si>
    <t>obrazovanie@pulmonology-russia.ru</t>
  </si>
  <si>
    <t>Научно-исследовательский институт пушного звероводства и кролиководства имени В.А. Афанасьева</t>
  </si>
  <si>
    <t>1035007904513</t>
  </si>
  <si>
    <t>Родники</t>
  </si>
  <si>
    <t>140143, Родники, Трудовая, 6</t>
  </si>
  <si>
    <t>Понедельник-пятница: 9:00-18-00, суббота и воскресенье - выходной</t>
  </si>
  <si>
    <t>+7 (926) 1718755</t>
  </si>
  <si>
    <t>aspirant@niipzk.ru</t>
  </si>
  <si>
    <t>Научно-исследовательский институт ревматологии имени В.А. Насоновой</t>
  </si>
  <si>
    <t>1027739515539</t>
  </si>
  <si>
    <t>education@rheumatolog.su</t>
  </si>
  <si>
    <t>115522, Москва, Каширское шоссе, д 34А</t>
  </si>
  <si>
    <t>+74951092910 доб. 1701, 1700</t>
  </si>
  <si>
    <t>Научно-исследовательский институт сельского хозяйства Крыма</t>
  </si>
  <si>
    <t>1159102130318</t>
  </si>
  <si>
    <t>aspirantura@niishk.site</t>
  </si>
  <si>
    <t>295493, Симферополь, Киевская, 150</t>
  </si>
  <si>
    <t>понедельник-пятница: 9:00-15:00, перерыв с 12:00-13:00 суббота и воскресенье: выходной</t>
  </si>
  <si>
    <t>+7 (3652)560-007</t>
  </si>
  <si>
    <t>Научно-исследовательский институт скорой помощи им. Н.В. Склифосовского Департамента здравоохранения города Москвы</t>
  </si>
  <si>
    <t>1027739252067</t>
  </si>
  <si>
    <t>129090, Москва, Б. Сухаревская площадь, 3</t>
  </si>
  <si>
    <t>понедельник-четверг: 10:00-16:00 пятница: 10:00-14:45 суббота и воскресенье: выходной</t>
  </si>
  <si>
    <t>+7(495) 620-10-78; +7(495) 628-49-38</t>
  </si>
  <si>
    <t>Братищев Игорь Викторович</t>
  </si>
  <si>
    <t>Министерство строительства и жилищно-коммунального хозяйства Российской Федерации (Минстрой России)</t>
  </si>
  <si>
    <t>Научно-исследовательский институт строительной физики Российской академии архитектуры и строительных наук</t>
  </si>
  <si>
    <t>1027739485950</t>
  </si>
  <si>
    <t>mariyas888@mail.ru</t>
  </si>
  <si>
    <t>127238, Москва, Локомотивный проезд, 21</t>
  </si>
  <si>
    <t>понедельник-пятница 10:00-17:00</t>
  </si>
  <si>
    <t>+79629330534</t>
  </si>
  <si>
    <t>Научно-исследовательский институт фундаментальной и клинической иммунологии</t>
  </si>
  <si>
    <t>1025402458740</t>
  </si>
  <si>
    <t>lgrishina@niikim.ru</t>
  </si>
  <si>
    <t>630099, Новосибирск, Ядринцевская, 14</t>
  </si>
  <si>
    <t>понедельник-пятница: 10:00-14:00 суббота и воскресенье: выходной</t>
  </si>
  <si>
    <t>8(383)2270136</t>
  </si>
  <si>
    <t>Научно-исследовательский институт хлебопекарной промышленности</t>
  </si>
  <si>
    <t>5077746432594</t>
  </si>
  <si>
    <t>aspirantura@gosniihp.ru</t>
  </si>
  <si>
    <t>107553, Москва, Б. Черкизовская, 26-А</t>
  </si>
  <si>
    <t>понедельник-пятница: 8:30-17:30, суббота и воскресенье: выходной</t>
  </si>
  <si>
    <t>+7 495 025-41-44</t>
  </si>
  <si>
    <t>Научно-исследовательский клинический институт детства Министерства здравоохранения Московской области</t>
  </si>
  <si>
    <t>1037700069956</t>
  </si>
  <si>
    <t>cpmk@nikid.ru</t>
  </si>
  <si>
    <t>141005, Мытищи, Коминтерна, 24а</t>
  </si>
  <si>
    <t>понедельник-пятница: 9:00-17:30 суббота и воскресенье: выходные</t>
  </si>
  <si>
    <t>+7498-699-53-10 доб.1499</t>
  </si>
  <si>
    <t>Научно-исследовательский клинический институт оториноларингологии им. Л.И. Свержевского</t>
  </si>
  <si>
    <t>1037739377301</t>
  </si>
  <si>
    <t>117152, Москва, Шоссе Загородное, 18А</t>
  </si>
  <si>
    <t>понедельник-пятница: 09:00 -16:00 суббота и воскресенье: выходной</t>
  </si>
  <si>
    <t>8931113025</t>
  </si>
  <si>
    <t>uko@nikio.ru</t>
  </si>
  <si>
    <t>Научно-исследовательский центр «Строительство»</t>
  </si>
  <si>
    <t>1095042005255</t>
  </si>
  <si>
    <t>smirnova@cstroy.ru</t>
  </si>
  <si>
    <t>109428, Москва, 2-я Институтская , 6</t>
  </si>
  <si>
    <t>понедельник-четверг 10:00-17:00, пятница: 10:00-15:00</t>
  </si>
  <si>
    <t>84956020070</t>
  </si>
  <si>
    <t>Научно-исследовательский центр информатизации Министерства иностранных дел Российской Федерации</t>
  </si>
  <si>
    <t>1217700323170</t>
  </si>
  <si>
    <t>119002, Москва, пер. Денежный, 21</t>
  </si>
  <si>
    <t>понедельник-четверг: 10:00-17:00</t>
  </si>
  <si>
    <t>+74992443264</t>
  </si>
  <si>
    <t>tzhuravleva@mid.ru</t>
  </si>
  <si>
    <t>Научно-клинический центр токсикологии имени академика С.Н. Голикова Федерального медико-биологического агентства</t>
  </si>
  <si>
    <t>1037825009090</t>
  </si>
  <si>
    <t>opk@toxicology.ru</t>
  </si>
  <si>
    <t>192019, Санкт-Петербург, Бехтерева, 1</t>
  </si>
  <si>
    <t>Понедельник - пятница: 9:00 - 17:30, суббота и воскресение: выходной</t>
  </si>
  <si>
    <t>8(812)670-99-24</t>
  </si>
  <si>
    <t>Научно-практический клинический центр диагностики и телемедицинских технологий Департамента здравоохранения города Москвы</t>
  </si>
  <si>
    <t>1037739481229</t>
  </si>
  <si>
    <t>VinogradovaIA6@zdrav.mos.ru</t>
  </si>
  <si>
    <t>127051, г. Москва, Петровка, 24</t>
  </si>
  <si>
    <t>+7 (495) 276-04-36 (доб. 3225, 3289)</t>
  </si>
  <si>
    <t>Научно-практический психоневрологический центр имени З.П. Соловьева Департамента здравоохранения города Москвы»</t>
  </si>
  <si>
    <t>1027739134422</t>
  </si>
  <si>
    <t>115419, Москва, Донская, 43</t>
  </si>
  <si>
    <t>понедельник-пятница с 11.00 до 16.00; суббота и воскресенье: выходной</t>
  </si>
  <si>
    <t>+7(495) 954-10-28; +7(916)759-21-46</t>
  </si>
  <si>
    <t>info@npcpn.ru</t>
  </si>
  <si>
    <t>Научно-практический центр психического здоровья детей и подростков имени Г.Е. Сухаревой Департамента здравоохранения города Москвы</t>
  </si>
  <si>
    <t>1027739735088</t>
  </si>
  <si>
    <t>119334, г.Москва, 5-й Донской проезд, 21</t>
  </si>
  <si>
    <t>+7 (495) 445-54-95, доб. 7411, 7412</t>
  </si>
  <si>
    <t>education@suhareva-center.mos.ru</t>
  </si>
  <si>
    <t>Научно-производственный комплекс «Технологический центр»</t>
  </si>
  <si>
    <t>1027700428480</t>
  </si>
  <si>
    <t>tc@tcen.ru</t>
  </si>
  <si>
    <t>г.Москва, г.Зеленоград</t>
  </si>
  <si>
    <t>124498, г.Москва, г.Зеленоград, площадь Шокина, дом 1, стр.7</t>
  </si>
  <si>
    <t>нет Приемных комиссий, не проводит прием студентов, аспирантов и т.п.</t>
  </si>
  <si>
    <t>Научно-технологический центр уникального приборостроения Российской академии наук</t>
  </si>
  <si>
    <t>1037739516781</t>
  </si>
  <si>
    <t>117342, Москва, Бутлерова, 15</t>
  </si>
  <si>
    <t>понедельник-четверг: 10:00 - 16:30 пятница: 10:00-15:00 суббота и воскресенье: выходной</t>
  </si>
  <si>
    <t>+7(495)333-61-02</t>
  </si>
  <si>
    <t>asp@ntcup.ru</t>
  </si>
  <si>
    <t>Научный центр проблем здоровья семьи и репродукции человека</t>
  </si>
  <si>
    <t>1023801010056</t>
  </si>
  <si>
    <t>yekaterina_lapa@mail.ru</t>
  </si>
  <si>
    <t>664003, Иркутск, Тимирязева, 16</t>
  </si>
  <si>
    <t>понедельник-пятница 9:00-13:00 понедельник-пятница 13:30-17:00 суббота и воскресенье: выходной</t>
  </si>
  <si>
    <t>+7(3952)209630</t>
  </si>
  <si>
    <t>Научный центр психического здоровья</t>
  </si>
  <si>
    <t>1027700161147</t>
  </si>
  <si>
    <t>115522, Москва, Каширское шоссе, 34</t>
  </si>
  <si>
    <t>понедельник - пятница: 9:00 - 16.00 суббота и воскресенье: выходной</t>
  </si>
  <si>
    <t>+7 (495) 109-03-68</t>
  </si>
  <si>
    <t>education@ncpz.ru</t>
  </si>
  <si>
    <t>Национальный государственный Университет физической культуры, спорта и здоровья имени П.Ф. Лесгафта, Санкт-Петербург</t>
  </si>
  <si>
    <t>1027810260774</t>
  </si>
  <si>
    <t>+7 (812) 714-06-74</t>
  </si>
  <si>
    <t>190121, Санкт-Петербург, Декабристов, 35</t>
  </si>
  <si>
    <t>понедельник-пятница: 10:00-18:00 суббота: 10:00-16:00 воскресенье: выходной</t>
  </si>
  <si>
    <t>priemlesgaft@yandex.ru</t>
  </si>
  <si>
    <t>Национальный институт бизнеса</t>
  </si>
  <si>
    <t>1157700015208</t>
  </si>
  <si>
    <t>n_i_b@mail.ru</t>
  </si>
  <si>
    <t>Понедельник - четверг: 10:00-18:00, пятница: 10:00-17:00, суббота: 10:00-15:00, воскресенье: выходной Обед: 13:00-14:00</t>
  </si>
  <si>
    <t>8-499-374-68-01</t>
  </si>
  <si>
    <t>НАЦИОНАЛЬНЫЙ ИНСТИТУТ ДИЗАЙНА</t>
  </si>
  <si>
    <t>1157700009610</t>
  </si>
  <si>
    <t>105005, Москва, Академика Туполева наб., 115</t>
  </si>
  <si>
    <t>понедельник-пятница с 10.00 до 17.00</t>
  </si>
  <si>
    <t>+7 (495) 545 13 95</t>
  </si>
  <si>
    <t>Pk@nid-design.org</t>
  </si>
  <si>
    <t>Национальный институт организации медицинской деятельности</t>
  </si>
  <si>
    <t>1247700441801</t>
  </si>
  <si>
    <t>info@niomed.org</t>
  </si>
  <si>
    <t>109029, Москва, Нижегородская, 32</t>
  </si>
  <si>
    <t>Понедельник-пятница: 9:00 -18:00 Суббота и воскресенье: выходной</t>
  </si>
  <si>
    <t>8 (495) 920-29-69</t>
  </si>
  <si>
    <t>Национальный исследовательский институт мировой экономики и международных отношений имени Е.М. Примакова Российской академии наук</t>
  </si>
  <si>
    <t>1037739435898</t>
  </si>
  <si>
    <t>117997, МОСКВА, УЛИЦА ПРОФСОЮЗНАЯ, д 23</t>
  </si>
  <si>
    <t>понедельник-четверг: 11:00-17:00 пятница, суббота, воскресенье: выходной</t>
  </si>
  <si>
    <t>+7 (499) 120-6534</t>
  </si>
  <si>
    <t>aspirant@imemo.ru</t>
  </si>
  <si>
    <t>Национальный исследовательский Мордовский государственный университет им. Н.П. Огарёва</t>
  </si>
  <si>
    <t>1021300973275</t>
  </si>
  <si>
    <t>430005, Саранск, Большевистская, 68</t>
  </si>
  <si>
    <t>Понедельник-пятница: 9:00-18:00, обеденный перерыв 13:00-14:00 Суббота: 9:00-13:00 Воскресенье: выходной</t>
  </si>
  <si>
    <t>+78342223230</t>
  </si>
  <si>
    <t>entrance-exam@adm.mrsu.ru</t>
  </si>
  <si>
    <t>Национальный исследовательский Московский государственный строительный университет</t>
  </si>
  <si>
    <t>1027700575044</t>
  </si>
  <si>
    <t>129337, Москва, Ярославское шоссе, 26</t>
  </si>
  <si>
    <t>+7 (499) 929-50-45</t>
  </si>
  <si>
    <t>priemkom@mgsu.ru</t>
  </si>
  <si>
    <t>Национальный исследовательский технологический университет «МИСИС»</t>
  </si>
  <si>
    <t>1027739439749</t>
  </si>
  <si>
    <t>vopros@misis.ru</t>
  </si>
  <si>
    <t>119049, Москва, Ленинский проспект, 4</t>
  </si>
  <si>
    <t>с 01.09 по 19.06 понедельник-пятница: 10:00-17:00 суббота и воскресенье: выходной с 20.06 по 31.08 понедельник-пятница: 10:00-17:00 суббота: 10:00-14:00 воскресенье: выходной</t>
  </si>
  <si>
    <t>+7 (499) 649-44-80</t>
  </si>
  <si>
    <t>Национальный исследовательский Томский государственный университет</t>
  </si>
  <si>
    <t>1027000853978</t>
  </si>
  <si>
    <t>634050, Томск, Проспект Ленина, 36</t>
  </si>
  <si>
    <t>9:00-17:00 суббота и воскресенье: выходной</t>
  </si>
  <si>
    <t>83822785300</t>
  </si>
  <si>
    <t>pk@mail.tsu.ru</t>
  </si>
  <si>
    <t>Национальный исследовательский Томский политехнический университет</t>
  </si>
  <si>
    <t>1027000890168</t>
  </si>
  <si>
    <t>634034, Томск, пр. Ленина, 30</t>
  </si>
  <si>
    <t>До 20 июня 2026 года: - понедельник-четверг: 9:00-17:30 - пятница: 9:00-16:30 - суббота и воскресенье: выходной С 20.06.2026 по 29.08.2026: - понедельник-пятница: 9:00-17:30 - суббота: 9:00-13:30 - воскресенье: выходной</t>
  </si>
  <si>
    <t>+7-3822-609-909</t>
  </si>
  <si>
    <t>abiturient@tpu.ru</t>
  </si>
  <si>
    <t>Национальный исследовательский университет «Высшая школа экономики»</t>
  </si>
  <si>
    <t>1027739630401</t>
  </si>
  <si>
    <t>101000, Москва, улица Мясницкая, 20</t>
  </si>
  <si>
    <t>Понедельник - пятница: 10.00 - 17.00, суббота и воскресенье: выходной</t>
  </si>
  <si>
    <t>+7 (495) 628-99-21</t>
  </si>
  <si>
    <t>gu@hse.ru</t>
  </si>
  <si>
    <t>Национальный исследовательский университет «Московский институт электронной техники»</t>
  </si>
  <si>
    <t>1027739615584</t>
  </si>
  <si>
    <t>bvd@mpsu-miet.ru</t>
  </si>
  <si>
    <t>Зеленоград</t>
  </si>
  <si>
    <t>124498, Зеленоград, площадь Шокина, 1</t>
  </si>
  <si>
    <t>понедельник-пятница: 10:00-17:00; суббота: 10:00-13:00; воскресенье: выходной</t>
  </si>
  <si>
    <t>+7(499)710-11-83</t>
  </si>
  <si>
    <t>Национальный исследовательский университет «МЭИ»</t>
  </si>
  <si>
    <t>1027700251644</t>
  </si>
  <si>
    <t>111250, Москва, ул. Красноказарменная, 14</t>
  </si>
  <si>
    <t>понедельник-пятница: 10:00-17:00, суббота-воскресенье: выходной</t>
  </si>
  <si>
    <t>+74953627231</t>
  </si>
  <si>
    <t>pk@mpei.ru</t>
  </si>
  <si>
    <t>Национальный исследовательский университет ИТМО</t>
  </si>
  <si>
    <t>1027806868154</t>
  </si>
  <si>
    <t>197101, Санкт-Петербург, Кронверкский проспект, 49, лит. А</t>
  </si>
  <si>
    <t>+7(812) 480-0-480</t>
  </si>
  <si>
    <t>abit@itmo.ru</t>
  </si>
  <si>
    <t>НАЦИОНАЛЬНЫЙ ИССЛЕДОВАТЕЛЬСКИЙ ЦЕНТР «КУРЧАТОВСКИЙ ИНСТИТУТ»</t>
  </si>
  <si>
    <t>1027739576006</t>
  </si>
  <si>
    <t>123182, Москва, пл.Академика Курчатова, д.1, 1</t>
  </si>
  <si>
    <t>+74991967875</t>
  </si>
  <si>
    <t>pk@nrcki.ru</t>
  </si>
  <si>
    <t>Национальный исследовательский центр эпидемиологии и микробиологии имени почетного академика Н.Ф.Гамалеи</t>
  </si>
  <si>
    <t>1027739443555</t>
  </si>
  <si>
    <t>aspirantura@gamalei.ru</t>
  </si>
  <si>
    <t>123098, Москва, Гамалеи, 18</t>
  </si>
  <si>
    <t>понедельник-пятница: 10,00-17,00 суббота и воскресенье выходной</t>
  </si>
  <si>
    <t>+74991933631</t>
  </si>
  <si>
    <t>Национальный исследовательский ядерный университет «МИФИ»</t>
  </si>
  <si>
    <t>1037739366477</t>
  </si>
  <si>
    <t>115409, Москва, Каширское шоссе, 31</t>
  </si>
  <si>
    <t>понедельник-пятница 10.00-18.00 суббота и воскресенье выходной</t>
  </si>
  <si>
    <t>+7 495 785-55-25</t>
  </si>
  <si>
    <t>priem@mephi.ru</t>
  </si>
  <si>
    <t>Национальный медико-хирургический Центр им. Н.И. Пирогова</t>
  </si>
  <si>
    <t>1027700077668</t>
  </si>
  <si>
    <t>105203, Москва, Нижняя Первомайская, 70</t>
  </si>
  <si>
    <t>+7 495 530-81-50</t>
  </si>
  <si>
    <t>iuv@pirogov-center.ru</t>
  </si>
  <si>
    <t>Национальный медицинский исследовательский центр «Межотраслевой научно-технический комплекс «Микрохирургия глаза» имени академика С.Н. Федорова</t>
  </si>
  <si>
    <t>1027739714606</t>
  </si>
  <si>
    <t>127486, Москва, Бескудниковский бульвар, 59а</t>
  </si>
  <si>
    <t>понедельник-пятница: 9:00-13:00 суббота и воскресенье: выходной</t>
  </si>
  <si>
    <t>84994888579</t>
  </si>
  <si>
    <t>kafedra@mntk.ru</t>
  </si>
  <si>
    <t>Национальный медицинский исследовательский центр «Центральный научно-ислледовательский институт стоматологии и челюстно-лицевой хирургии»</t>
  </si>
  <si>
    <t>1037739448460</t>
  </si>
  <si>
    <t>119021, Москва, Тимура Фрунзе, 16</t>
  </si>
  <si>
    <t>+74992454581</t>
  </si>
  <si>
    <t>pk_ticket@cniis.ru</t>
  </si>
  <si>
    <t>Национальный медицинский исследовательский центр акушерства, гинекологии и перинатологии имени академика В.И.Кулакова</t>
  </si>
  <si>
    <t>1027700510672</t>
  </si>
  <si>
    <t>117997, Москва, Академика Опарина, 4</t>
  </si>
  <si>
    <t>понедельник-четверг: 9.00-17.30 пятница: 9.00-16.00 суббота и воскресенье: выходной</t>
  </si>
  <si>
    <t>(495)438-24-47</t>
  </si>
  <si>
    <t>pk@oparina4.ru</t>
  </si>
  <si>
    <t>Национальный медицинский исследовательский центр гематологии</t>
  </si>
  <si>
    <t>1027739419014</t>
  </si>
  <si>
    <t>125167, Москва, Новый Зыковский пр-д, 4</t>
  </si>
  <si>
    <t>+74956120192</t>
  </si>
  <si>
    <t>priem@blood.ru</t>
  </si>
  <si>
    <t>Национальный медицинский исследовательский центр глазных болезней имени Гельмгольца</t>
  </si>
  <si>
    <t>1037739298167</t>
  </si>
  <si>
    <t>105062, Москва, Садовая-Черногрязская, 14/19</t>
  </si>
  <si>
    <t>Понедельник-четверг:10:00-17:00 пятница: 10:00-16:00 суббота и воскресенье: выходной</t>
  </si>
  <si>
    <t>+74956239639</t>
  </si>
  <si>
    <t>ed@igb.ru</t>
  </si>
  <si>
    <t>Национальный Медицинский Исследовательский Центр Здоровья Детей</t>
  </si>
  <si>
    <t>1037739394285</t>
  </si>
  <si>
    <t>119991, Москва, Ломоносовский проспект, 2</t>
  </si>
  <si>
    <t>Понедельник - пятница 09:00-17:30, суббота и воскресенье: выходной</t>
  </si>
  <si>
    <t>+7-499-132-30-43</t>
  </si>
  <si>
    <t>pk@nczd.ru</t>
  </si>
  <si>
    <t>Национальный медицинский исследовательский центр имени академика Е.Н. Мешалкина</t>
  </si>
  <si>
    <t>1025403647213</t>
  </si>
  <si>
    <t>630055, Новосибирск, Речкуновская, 15</t>
  </si>
  <si>
    <t>понедельник-пятница: 10:00-16.00 суббота и воскресенье:выходной</t>
  </si>
  <si>
    <t>8(383)347-60-74</t>
  </si>
  <si>
    <t>education@meshalkin.ru</t>
  </si>
  <si>
    <t>Национальный медицинский исследовательский центр имени В.А. Алмазова</t>
  </si>
  <si>
    <t>1037804031011</t>
  </si>
  <si>
    <t>197341, Санкт-Петербург, Аккуратова, 2</t>
  </si>
  <si>
    <t>понедельник - пятница: 10:00-18:00, суббота и воскресенье: выходные</t>
  </si>
  <si>
    <t>+7 (812) 660-37-04</t>
  </si>
  <si>
    <t>pk@almazovcentre.ru</t>
  </si>
  <si>
    <t>Национальный медицинский исследовательский центр кардиологии им. ак. Е.И. Чазова Министерства здравоохранения Российской Федерации</t>
  </si>
  <si>
    <t>1037739144640</t>
  </si>
  <si>
    <t>121552, Москва, им. ак. Е.И. Чазова, 15а</t>
  </si>
  <si>
    <t>+7 495-414-67-59</t>
  </si>
  <si>
    <t>priem@cardio.ru</t>
  </si>
  <si>
    <t>Национальный медицинский исследовательский центр колопроктологии имени А.Н. Рыжих</t>
  </si>
  <si>
    <t>1037739408761</t>
  </si>
  <si>
    <t>edu@gnck.ru</t>
  </si>
  <si>
    <t>123423, Москва, Саляма Адиля, 2</t>
  </si>
  <si>
    <t>Понедельник-пятница: 08:00-16:00, суббота и воскресенье: выходной</t>
  </si>
  <si>
    <t>8-499-642-54-41 доб. 2002</t>
  </si>
  <si>
    <t>Национальный медицинский исследовательский центр нейрохирургии имени академика Н.Н. Бурденко</t>
  </si>
  <si>
    <t>1027739375080</t>
  </si>
  <si>
    <t>125047, Москва, 4-ая Тверская- Ямская, 16</t>
  </si>
  <si>
    <t>+7 (499) 972-85-36</t>
  </si>
  <si>
    <t>edu@nsi.ru</t>
  </si>
  <si>
    <t>Национальный медицинский исследовательский центр онкологии</t>
  </si>
  <si>
    <t>1026104161423</t>
  </si>
  <si>
    <t>patentrnioi@mail.ru</t>
  </si>
  <si>
    <t>344037, Ростов-на-Дону, 14-я линия, 63</t>
  </si>
  <si>
    <t>понедельник-пятница: 9:00-16:00 суббота: 09:00-15:00</t>
  </si>
  <si>
    <t>+79518351577</t>
  </si>
  <si>
    <t>Национальный медицинский исследовательский центр онкологии имени Н.Н. Блохина</t>
  </si>
  <si>
    <t>1037739447525</t>
  </si>
  <si>
    <t>Понедельник: 08:30-17:15 пятница 08:30-16:00</t>
  </si>
  <si>
    <t>+74993235444</t>
  </si>
  <si>
    <t>priem@ronc.ru</t>
  </si>
  <si>
    <t>Национальный медицинский исследовательский центр оториноларингологии</t>
  </si>
  <si>
    <t>1037739190169</t>
  </si>
  <si>
    <t>123182, Москва, Волоколамское Ш., 30</t>
  </si>
  <si>
    <t>понедельник-четверг: 10:00-16:00, пятница: 10:00-15:00, суббота и воскресенье: выходной</t>
  </si>
  <si>
    <t>+7(499)968-69-04 доб. 2530</t>
  </si>
  <si>
    <t>abiturient@otolar-centre.ru</t>
  </si>
  <si>
    <t>Национальный медицинский исследовательский центр психиатрии и неврологии имени В.М. Бехтерева</t>
  </si>
  <si>
    <t>1037825015953</t>
  </si>
  <si>
    <t>+7 (812) 670-02-73</t>
  </si>
  <si>
    <t>edu@bekhterev.online</t>
  </si>
  <si>
    <t>192019, Санкт-Петербург, ул. Бехтерева, 3</t>
  </si>
  <si>
    <t>Понедельник-пятница: 10:00-17.00 суббота и воскресенье:выходной</t>
  </si>
  <si>
    <t>Национальный медицинский исследовательский центр радиологии</t>
  </si>
  <si>
    <t>1027739623031</t>
  </si>
  <si>
    <t>mnioi.nauka@mail.ru</t>
  </si>
  <si>
    <t>Обнинск</t>
  </si>
  <si>
    <t>249036, Обнинск, Королева, 4</t>
  </si>
  <si>
    <t>Понедельник-четверг: 8:30-16:30, пятница: 8:30-16:00, суббота и воскресенье: выходной</t>
  </si>
  <si>
    <t>84959456497</t>
  </si>
  <si>
    <t>Национальный медицинский исследовательский центр реабилитации и курортологии</t>
  </si>
  <si>
    <t>1027700102858</t>
  </si>
  <si>
    <t>121099, г.Москва, Новый Арбат, 32</t>
  </si>
  <si>
    <t>понедельник-пятница: 9:00 - 17.00, суббота и воскресенье: выходной</t>
  </si>
  <si>
    <t>84992770105 доб. 1517</t>
  </si>
  <si>
    <t>priem@nmicrk.ru</t>
  </si>
  <si>
    <t>Национальный медицинский исследовательский центр сердечно-сосудистой хирурги имени А.Н. Бакулева</t>
  </si>
  <si>
    <t>1027739402437</t>
  </si>
  <si>
    <t>121552, Москва, Рублевское шоссе, 135</t>
  </si>
  <si>
    <t>понедельник-пятница: 9:00-17:00 суббота и воскресенье выходной</t>
  </si>
  <si>
    <t>+7 (495)414-76-21</t>
  </si>
  <si>
    <t>ipkvkpo@bakulev.ru</t>
  </si>
  <si>
    <t>Национальный медицинский исследовательский центр терапии и профилактической медицины</t>
  </si>
  <si>
    <t>1027739172240</t>
  </si>
  <si>
    <t>101990, Москва, переулок Петроверигский, 10</t>
  </si>
  <si>
    <t>+7(499)5536881</t>
  </si>
  <si>
    <t>pde@gnicpm.ru</t>
  </si>
  <si>
    <t>Национальный медицинский исследовательский центр травматологии и ортопедии имени академика Г.А. Илизарова</t>
  </si>
  <si>
    <t>1024500526885</t>
  </si>
  <si>
    <t>ilizarovfaculty@mail.ru</t>
  </si>
  <si>
    <t>640021, Курган, Марии Ульяновой, 6</t>
  </si>
  <si>
    <t>Понедельник - пятница : с 08:30 - 17:00, суббота и воскресенье : выходной</t>
  </si>
  <si>
    <t>8 (800) 301-44-55 (для звонков по России), 8 (495) 122-22-68 (для звонков из-за рубежа).</t>
  </si>
  <si>
    <t>Национальный медицинский исследовательский центр травматологии и ортопедии имени Н.Н.Приорова</t>
  </si>
  <si>
    <t>1037739007998</t>
  </si>
  <si>
    <t>127299, Москва, Приорова, 10</t>
  </si>
  <si>
    <t>понедельник-пятница: 08:30-17:00 по московскому времени, суббота: с 09:00 до 17:00 по московскому времени, воскресенье: выходной</t>
  </si>
  <si>
    <t>+79162014003</t>
  </si>
  <si>
    <t>pk2026@cito-priorov.ru</t>
  </si>
  <si>
    <t>Национальный медицинский исследовательский центр травматологии и ортопедии имени Р.Р. Вредена</t>
  </si>
  <si>
    <t>1037828002850</t>
  </si>
  <si>
    <t>sabirov_fanil@mail.ru</t>
  </si>
  <si>
    <t>195427, Санкт-Петербург, Академика Байкова, 8</t>
  </si>
  <si>
    <t>Понедельник-пятница: 9:00-16:00; суббота и воскресенье: выходной</t>
  </si>
  <si>
    <t>+7(812)670-8724</t>
  </si>
  <si>
    <t>Национальный медицинский исследовательский центр трансплантологии и искусственных органов имени академика В.И. Шумакова</t>
  </si>
  <si>
    <t>1037739599468</t>
  </si>
  <si>
    <t>123182, Москва, Щукинская, 1</t>
  </si>
  <si>
    <t>Понедельник – пятница: с 10:00 до 17:00; суббота и воскресенье: выходной.</t>
  </si>
  <si>
    <t>+7 (996) 715-25-48</t>
  </si>
  <si>
    <t>educate_transpl@mail.ru</t>
  </si>
  <si>
    <t>Национальный медицинский исследовательский центр фтизиопульмонологии и инфекционных заболеваний</t>
  </si>
  <si>
    <t>1026605629412</t>
  </si>
  <si>
    <t>москва</t>
  </si>
  <si>
    <t>127473, москва, достоевского, 4</t>
  </si>
  <si>
    <t>+7(495)6311515 доб.5011</t>
  </si>
  <si>
    <t>edu@nmrc.ru</t>
  </si>
  <si>
    <t>Национальный медицинский исследовательский центр хирургии имени А.В. Вишневского</t>
  </si>
  <si>
    <t>1037739528507</t>
  </si>
  <si>
    <t>117997, Москва, Большая Серпуховская, 27</t>
  </si>
  <si>
    <t>понедельник-пятница: 08:30-17:00 суббота и воскресенье: выходной</t>
  </si>
  <si>
    <t>+74992366565</t>
  </si>
  <si>
    <t>edu@ixv.ru</t>
  </si>
  <si>
    <t>Национальный научно-исследовательский институт общественного здоровья имени Н.А. Семашко</t>
  </si>
  <si>
    <t>1027739151549</t>
  </si>
  <si>
    <t>105064, Москва, Воронцово Поле, 12</t>
  </si>
  <si>
    <t>+7(980)099-11-35</t>
  </si>
  <si>
    <t>ord@nriph.ru</t>
  </si>
  <si>
    <t>Национальный научный центр морской биологии им. А.В. Жирмунского Дальневосточного отделения Российской академии наук</t>
  </si>
  <si>
    <t>1022502128538</t>
  </si>
  <si>
    <t>690041, Владивосток, Пальчевского, 17</t>
  </si>
  <si>
    <t>понедельник-четверг 9:00-17:00 пятница 9:00-16:00 суббота и воскресенье: выходной</t>
  </si>
  <si>
    <t>+74232310464</t>
  </si>
  <si>
    <t>aspiranturanscmb@mail.ru</t>
  </si>
  <si>
    <t>Национальный открытый институт г. Санкт- Петербург</t>
  </si>
  <si>
    <t>1177800002654</t>
  </si>
  <si>
    <t>197183, Санкт-Петербург, Сестрорецкая, 6</t>
  </si>
  <si>
    <t>понедельник-пятница: 09:00-18:00 суббота и воскресенье выходной</t>
  </si>
  <si>
    <t>8-800-200-33-43</t>
  </si>
  <si>
    <t>rector@noispb.ru, metodist@noispb.ru,volkova@noispb.ru, rodionova@noispb.ru</t>
  </si>
  <si>
    <t>Национальный центр зерна имени П.П. Лукьяненко</t>
  </si>
  <si>
    <t>1022301812136</t>
  </si>
  <si>
    <t>aspirantura@kniish.ru</t>
  </si>
  <si>
    <t>350012, Краснодар, Центральная Усадьба КНИИСХ, -</t>
  </si>
  <si>
    <t>8(861)222-11-04</t>
  </si>
  <si>
    <t>Невинномысский государственный гуманитарно-технический институт</t>
  </si>
  <si>
    <t>1022603624383</t>
  </si>
  <si>
    <t>priem@nggti.ru</t>
  </si>
  <si>
    <t>Невинномысск</t>
  </si>
  <si>
    <t>357108, Невинномысск, бульвар Мира, 17</t>
  </si>
  <si>
    <t>понедельник-пятница: 9:00-18:00 суббота: 9:00-15:00 воскресенье: выходной</t>
  </si>
  <si>
    <t>8 (86554) 95550, доб.151 8(86554) 71271</t>
  </si>
  <si>
    <t>Невинномысский институт экономики, управления и права</t>
  </si>
  <si>
    <t>1022603621028</t>
  </si>
  <si>
    <t>357101, Невинномысск, Зои Космодемьянской, 1</t>
  </si>
  <si>
    <t>понедельник-пятница: 9:00-16:00, суббота: 9:00-15:00, воскресенье: выходной</t>
  </si>
  <si>
    <t>8-86554-64240</t>
  </si>
  <si>
    <t>pk@nieup.ru</t>
  </si>
  <si>
    <t>НЕВИННОМЫССКИЙ МЕДИЦИНСКИЙ ИНСТИТУТ</t>
  </si>
  <si>
    <t>1232600002140</t>
  </si>
  <si>
    <t>НЕВИННОМЫССК</t>
  </si>
  <si>
    <t>357114, НЕВИННОМЫССК, ЧКАЛОВА, 67</t>
  </si>
  <si>
    <t>понедельник - пятница 9:00-17:00 суббота 9:00-14:00</t>
  </si>
  <si>
    <t>(8652) 99-70-16</t>
  </si>
  <si>
    <t>priem@nmed.pro</t>
  </si>
  <si>
    <t>Невский институт языка и культуры</t>
  </si>
  <si>
    <t>1197800000749</t>
  </si>
  <si>
    <t>(812) 320-99-21</t>
  </si>
  <si>
    <t>199004, Санкт-Петербург, Тучков переулок, 11/5</t>
  </si>
  <si>
    <t>Понедельник-пятница — 10:00-18:00 Суббота, понедельник — выходной</t>
  </si>
  <si>
    <t>abiturient@nevskyinstitute.ru</t>
  </si>
  <si>
    <t>Нижегородская государственная консерватория им. М.И. Глинки</t>
  </si>
  <si>
    <t>1025203016486</t>
  </si>
  <si>
    <t>603950, Нижний Новгород, 603950, Нижегородская область, г. Нижний Новгород, ул. Пискунова, д. 40, 40</t>
  </si>
  <si>
    <t>понедельник-четверг: 10:00-17:00, пятница: 10:00-16:00, перерыв с: 12:00 до 13:00. Суббота и воскресенье: выходной</t>
  </si>
  <si>
    <t>до 19.06.2026 - (831)419-83-83, с 20.06.2026 по 31.08.2026 - (831)411-88-78</t>
  </si>
  <si>
    <t>pk@nnovcons.ru</t>
  </si>
  <si>
    <t>Нижегородская духовная семинария Нижегородской Епархии Русской Православной Церкви (Московский Патриархат)</t>
  </si>
  <si>
    <t>1025200011605</t>
  </si>
  <si>
    <t>nds@nne.ru</t>
  </si>
  <si>
    <t>г Нижний Новгород</t>
  </si>
  <si>
    <t>603058, г Нижний Новгород, Похвалинский съезд, 5</t>
  </si>
  <si>
    <t>+79308154578</t>
  </si>
  <si>
    <t>Нижегородский государственный агротехнологический университет имени Л.Я. Флорентьева</t>
  </si>
  <si>
    <t>1025203560799</t>
  </si>
  <si>
    <t>ngsha-pr@yandex.ru</t>
  </si>
  <si>
    <t>603107, Нижний Новгород, пр. Гагарина, 97</t>
  </si>
  <si>
    <t>Понедельник - пятница с 08:00-17:00, суббота с 08:00-14:00, воскресенье - выходной.</t>
  </si>
  <si>
    <t>88312143350</t>
  </si>
  <si>
    <t>Нижегородский государственный архитектурно-строительный университет</t>
  </si>
  <si>
    <t>1025203021007</t>
  </si>
  <si>
    <t>603950, Нижний Новгород, Ильинская, 65</t>
  </si>
  <si>
    <t>понедельник-пятница: 9:00-16:00, суббота 9:00-13:00, воскресенье: выходной</t>
  </si>
  <si>
    <t>280 84 45</t>
  </si>
  <si>
    <t>priem@nngasu.ru</t>
  </si>
  <si>
    <t>Нижегородский государственный инженерно-экономический университет</t>
  </si>
  <si>
    <t>1035201235552</t>
  </si>
  <si>
    <t>Княгинино</t>
  </si>
  <si>
    <t>606340, Княгинино, Октябрьская, 22</t>
  </si>
  <si>
    <t>понедельник-пятница: 8:00-17:00, суббота: 9:0013:00, воскресенье: выходной</t>
  </si>
  <si>
    <t>88316641547</t>
  </si>
  <si>
    <t>ngiei-pk@mail.ru</t>
  </si>
  <si>
    <t>Нижегородский государственный лингвистический университет им. Н.А. Добролюбова</t>
  </si>
  <si>
    <t>1025203049948</t>
  </si>
  <si>
    <t>603155, Нижний Новгород, ул. Минина, 31 А</t>
  </si>
  <si>
    <t>+7 (831) 416-61-41</t>
  </si>
  <si>
    <t>priem@lunn.ru</t>
  </si>
  <si>
    <t>Нижегородский государственный педагогический университет имени Козьмы Минина</t>
  </si>
  <si>
    <t>1025203037420</t>
  </si>
  <si>
    <t>603005, Нижний Новгород, Ульянова, 1</t>
  </si>
  <si>
    <t>До 20.06.2026 - понедельник-пятница: 9:00-17:00; суббота, воскресенье: выходной. С 20.06.2026 по 31.08.2026 - понедельник-пятница: 9:00-18:00; суббота: 10:00-14:00; воскресенье: выходной</t>
  </si>
  <si>
    <t>8(831)2622620</t>
  </si>
  <si>
    <t>priem@mininuniver.ru</t>
  </si>
  <si>
    <t>Нижегородский государственный технический университет им. Р.Е. Алексеева</t>
  </si>
  <si>
    <t>1025203034537</t>
  </si>
  <si>
    <t>603950, Нижний Новгород, Минина, 24</t>
  </si>
  <si>
    <t>понедельник – пятница – 09:00 – 17:00 суббота – 10:00 – 15:00 воскресенье – выходной</t>
  </si>
  <si>
    <t>8(831)436-73-43</t>
  </si>
  <si>
    <t>priem@nntu.ru</t>
  </si>
  <si>
    <t>Нижегородский государственный университет им. Н.И. Лобачевского</t>
  </si>
  <si>
    <t>1025203733510</t>
  </si>
  <si>
    <t>603022, Нижний Новгород, проспект Гагарина, 23</t>
  </si>
  <si>
    <t>Понедельник-пятница: 9:00-17:00, суббота 9:00-15:00, воскресенье: выходной</t>
  </si>
  <si>
    <t>+78314623046</t>
  </si>
  <si>
    <t>priem@unn.ru</t>
  </si>
  <si>
    <t>Нижневартовский государственный университет</t>
  </si>
  <si>
    <t>1028600965997</t>
  </si>
  <si>
    <t>Нижневартовск</t>
  </si>
  <si>
    <t>628605, Нижневартовск, Ленина, 56</t>
  </si>
  <si>
    <t>понедельник-пятница: 9:00-17:00, суббота: 9:00-15:00, воскресенье: выходной</t>
  </si>
  <si>
    <t>8 (3466) 46-40-50</t>
  </si>
  <si>
    <t>abiturient@nvsu.ru</t>
  </si>
  <si>
    <t>НИИ эпидемиологии и микробиологии им. Г.П. Сомова</t>
  </si>
  <si>
    <t>1022501909220</t>
  </si>
  <si>
    <t>aspirantura_niiem@mail.ru</t>
  </si>
  <si>
    <t>690087, Владивосток, Сельская, 1</t>
  </si>
  <si>
    <t>понедельник-четверг: 9:00-16:00 пятница: 9:00-16:00 суббота и воскресенье: выходной</t>
  </si>
  <si>
    <t>+7 (423) 244-24-46</t>
  </si>
  <si>
    <t>Новгородский государственный университет имени Ярослава Мудрого</t>
  </si>
  <si>
    <t>1025300780075</t>
  </si>
  <si>
    <t>Новгородская область</t>
  </si>
  <si>
    <t>Великий Новгород</t>
  </si>
  <si>
    <t>173003, Великий Новгород, Большая Санкт-Петербургская, 41</t>
  </si>
  <si>
    <t>понедельник-четверг: 9:00-18:00; пятница-суббота 9:00-17:00; воскресенье: выходной</t>
  </si>
  <si>
    <t>+7 (816 2) 332-044</t>
  </si>
  <si>
    <t>pk@novsu.ru</t>
  </si>
  <si>
    <t>Новосибирская государственная консерватория имени М.И. Глинки</t>
  </si>
  <si>
    <t>1025403204298</t>
  </si>
  <si>
    <t>+7 (383) 222-56-87</t>
  </si>
  <si>
    <t>abiturient@nsglinka.ru</t>
  </si>
  <si>
    <t>630099, Новосибирск, Советская, 31</t>
  </si>
  <si>
    <t>Новосибирский государственный архитектурно-строительный университет (Сибстрин)</t>
  </si>
  <si>
    <t>1025401905484</t>
  </si>
  <si>
    <t>630008, Новосибирск, ул. Ленинградская, 113</t>
  </si>
  <si>
    <t>пон.-пят. - 9.00-17.00 суб. - 9.00-14.00</t>
  </si>
  <si>
    <t>+7(383)206-33-29</t>
  </si>
  <si>
    <t>pr_kom@sibstrin.ru</t>
  </si>
  <si>
    <t>Новосибирский государственный медицинский университет Министерства здравоохранения Российской Федерации</t>
  </si>
  <si>
    <t>1025402466583</t>
  </si>
  <si>
    <t>630091, Новосибирск, Красный порспект, 52</t>
  </si>
  <si>
    <t>понедельник - пятница: 10.00 - 16.00 суббота: 10.00 - 14.00 воскресенье: выходной</t>
  </si>
  <si>
    <t>+7(383) 222-27-16</t>
  </si>
  <si>
    <t>abiturient@ngmu.ru</t>
  </si>
  <si>
    <t>Новосибирский государственный педагогический университет</t>
  </si>
  <si>
    <t>1025401913558</t>
  </si>
  <si>
    <t>+7 (383) 383-32-42</t>
  </si>
  <si>
    <t>uppna@nspu.ru</t>
  </si>
  <si>
    <t>630126, Новосибирск, ул. Вилюйская, 28</t>
  </si>
  <si>
    <t>понедельник-пятница : 9.00 - 17.00 суббота и воскресенье : выходной</t>
  </si>
  <si>
    <t>Новосибирский государственный театральный институт</t>
  </si>
  <si>
    <t>1045402457539</t>
  </si>
  <si>
    <t>630099, Новосибирск, Революции, 6</t>
  </si>
  <si>
    <t>понедельник-пятница:10.00-16.00, суббота и воскресенье: выходной</t>
  </si>
  <si>
    <t>(383)2231158</t>
  </si>
  <si>
    <t>pochtangti@mail.ru.</t>
  </si>
  <si>
    <t>Новосибирский государственный технический университет</t>
  </si>
  <si>
    <t>1025401485010</t>
  </si>
  <si>
    <t>+7 (383) 319-59-99</t>
  </si>
  <si>
    <t>630073, Новосибирск, проспект Карла Маркса, 20</t>
  </si>
  <si>
    <t>понедельник-пятница: 9:00-18:00, суббота и воскресенье: выходной</t>
  </si>
  <si>
    <t>pk@nstu.ru</t>
  </si>
  <si>
    <t>Новосибирский государственный университет архитектуры, дизайна и искусств имени А.Д. Крячкова</t>
  </si>
  <si>
    <t>1025402449819</t>
  </si>
  <si>
    <t>630099, Новосибирск, Красный проспект, 38</t>
  </si>
  <si>
    <t>понедельник-пятница: 8:00-17:00 ; суббота и воскресенье: выходной</t>
  </si>
  <si>
    <t>+7 (383) 286-97-71</t>
  </si>
  <si>
    <t>abitur@nsuada.ru</t>
  </si>
  <si>
    <t>Новосибирский государственный университет экономики и управления «НИНХ»</t>
  </si>
  <si>
    <t>1025402483105</t>
  </si>
  <si>
    <t>630099, Новосибирск, Каменская, 56</t>
  </si>
  <si>
    <t>понедельник-пятница: 9:00-18:00 суббота: 10:00 - 15:00 воскресенье: выходной</t>
  </si>
  <si>
    <t>+7 (383) 211-05-00</t>
  </si>
  <si>
    <t>priemc@nsuem.ru</t>
  </si>
  <si>
    <t>Новосибирский институт органической химии им. Н.Н. Ворожцова Сибирского отделения Российской академии наук</t>
  </si>
  <si>
    <t>1025403651921</t>
  </si>
  <si>
    <t>630090, Новосибирск, проспект Академика Лаврентьева, 9</t>
  </si>
  <si>
    <t>понедельник-четверг: 9:30-18:00 пятница: 9:30-17:45 суббота и воскресенье: выходной</t>
  </si>
  <si>
    <t>+73833306644</t>
  </si>
  <si>
    <t>aspirantura.nioch.2020@gmail.com</t>
  </si>
  <si>
    <t>Новосибирский научно-исследовательский институт травматологии и ортопедии им.Я.Л.Цивьяна</t>
  </si>
  <si>
    <t>1035402451765</t>
  </si>
  <si>
    <t>630091, Новосибирск, Фрунзе, 17</t>
  </si>
  <si>
    <t>понедельник -пятница с 9:00-16:00 суббота и воскресенье: выходной</t>
  </si>
  <si>
    <t>8 (383) 363-39-81; 8 (383) 363-39-08; сотовый - 8-923-714-73-67</t>
  </si>
  <si>
    <t>TFasenko@niito.ru</t>
  </si>
  <si>
    <t>Новосибирский научно-исследовательский институт туберкулеза</t>
  </si>
  <si>
    <t>1025401009908</t>
  </si>
  <si>
    <t>630040, Новосибирск, Охотская, 81а</t>
  </si>
  <si>
    <t>понедельник-пятница: 9.00-16.30 суббота-воскресенье: выходной</t>
  </si>
  <si>
    <t>+73832037825</t>
  </si>
  <si>
    <t>info@nsk-niit.ru</t>
  </si>
  <si>
    <t>Новосибирский национальный исследовательский государственный университет</t>
  </si>
  <si>
    <t>1025403658565</t>
  </si>
  <si>
    <t>630090, Новосибирск, Пирогова, 1</t>
  </si>
  <si>
    <t>Понедельник-пятница: 09:00-18:00 суббота: 09:00-13:00 воскресенье: выходной</t>
  </si>
  <si>
    <t>8(383)-363-40-37</t>
  </si>
  <si>
    <t>priem@nsu.ru</t>
  </si>
  <si>
    <t>Образовательная организация высшего образования «Саратовский медицинский университет «Реавиз»</t>
  </si>
  <si>
    <t>1236400009438</t>
  </si>
  <si>
    <t>Саратовская область</t>
  </si>
  <si>
    <t>Саратов</t>
  </si>
  <si>
    <t>410012, Саратов, Верхний рынок, 10</t>
  </si>
  <si>
    <t>20.06.2026 - 25.07.2026 понедельник-четверг: 9:00 - 16:00, суббота: 9:00 - 13:00, воскресенье: выходной 26.07.2026 - 22.08.2026 понедельник- пятница: 10:00 - 16:00, суббота и воскресенье: выходной</t>
  </si>
  <si>
    <t>8-927-745-62-71</t>
  </si>
  <si>
    <t>priemsar@reaviz.com</t>
  </si>
  <si>
    <t>Общецерковная аспирантура и докторантура им. святых равноапостольных Кирилла и Мефодия</t>
  </si>
  <si>
    <t>1097799018790</t>
  </si>
  <si>
    <t>115035, Москва, Пятницкая, 4/2</t>
  </si>
  <si>
    <t>Понедельник-пятница: 10:00-17:00. суббота, воскресенье и церковные двунадесятые праздники выходной</t>
  </si>
  <si>
    <t>+7 495 721-80-23</t>
  </si>
  <si>
    <t>priem@doctorantura.ru</t>
  </si>
  <si>
    <t>Объединенный институт высоких температур Российской академии наук</t>
  </si>
  <si>
    <t>1027739271009</t>
  </si>
  <si>
    <t>125412, Москва, Ижорская, 13</t>
  </si>
  <si>
    <t>понедельник-четверг: 10:00-18:30 пятница: 10:00-17:00 суббота и воскресенье: выходной</t>
  </si>
  <si>
    <t>84954859877</t>
  </si>
  <si>
    <t>dvervikishko@ihed.ras.ru</t>
  </si>
  <si>
    <t>Омская гуманитарная академия</t>
  </si>
  <si>
    <t>1025500609111</t>
  </si>
  <si>
    <t>Омская область</t>
  </si>
  <si>
    <t>Омск</t>
  </si>
  <si>
    <t>644105, Омск, 4-я Челюскинцев, 2</t>
  </si>
  <si>
    <t>Понедельник-четверг: 9:00-18:00, пятница: 9:00-16:45, суббота и воскресенье: выходной Обед: 13:00-13:45 (Омское время)</t>
  </si>
  <si>
    <t>+7 (3812) 68-35-88</t>
  </si>
  <si>
    <t>priem@omga.su</t>
  </si>
  <si>
    <t>Омская духовная семинария Омской Епархии Русской Православной Церкви</t>
  </si>
  <si>
    <t>1025500000228</t>
  </si>
  <si>
    <t>644024, Омск, Лермонтова, 56</t>
  </si>
  <si>
    <t>понедельник-четверг: 10:00-17:30 пятница: 10:00-16:30 суббота и воскресенье: выходной</t>
  </si>
  <si>
    <t>8(3812) 95-60-03</t>
  </si>
  <si>
    <t>omskseminaria@yandex.ru</t>
  </si>
  <si>
    <t>Омский государственный аграрный университет имени П.А. Столыпина</t>
  </si>
  <si>
    <t>1025500508330</t>
  </si>
  <si>
    <t>644008, Омск, Институтская площадь, 1</t>
  </si>
  <si>
    <t>понедельник-четверг: 9:00-17:30 пятница: 9:00-16:30 суббота: 9:00-14:30 и воскресенье: выходной</t>
  </si>
  <si>
    <t>8-3812-65-53-44</t>
  </si>
  <si>
    <t>prk@omgau.org</t>
  </si>
  <si>
    <t>Омский государственный медицинский университет Министерства здравоохранения Российской Федерации</t>
  </si>
  <si>
    <t>1035504001500</t>
  </si>
  <si>
    <t>644099, Омск, Ленина, 12</t>
  </si>
  <si>
    <t>понедельник-пятница 09.00-16.00, суббота 09.00-13.00, воскресенье выходной (время Омское, МСК +3)</t>
  </si>
  <si>
    <t>8(3812)238034</t>
  </si>
  <si>
    <t>abiturient@omgmu.ru</t>
  </si>
  <si>
    <t>Омский государственный педагогический университет</t>
  </si>
  <si>
    <t>1025500758073</t>
  </si>
  <si>
    <t>8(3812)28-45-45</t>
  </si>
  <si>
    <t>abiturient@omgpu.ru</t>
  </si>
  <si>
    <t>644099, Омск, набережная Тухачевского, 14</t>
  </si>
  <si>
    <t>Понедельник-пятница: 9:00-17:00, суббота 10:00-13:00, воскресенье: выходной</t>
  </si>
  <si>
    <t>Омский государственный технический университет</t>
  </si>
  <si>
    <t>1025500531550</t>
  </si>
  <si>
    <t>644050, Омск, проспект Мира, д. 11</t>
  </si>
  <si>
    <t>понедельник-пятница: 10:00-17:00 суббота: 10:00-14:00 воскресенье: выходной</t>
  </si>
  <si>
    <t>+7 (3812) 72-90-55</t>
  </si>
  <si>
    <t>pk@omgtu.ru</t>
  </si>
  <si>
    <t>Омский государственный университет им. Ф.М. Достоевского</t>
  </si>
  <si>
    <t>1025500532947</t>
  </si>
  <si>
    <t>644077, Омск, Проспект Мира, 55-А</t>
  </si>
  <si>
    <t>Понедельник-пятница: 9:00-17:00, суббота: 9:00-12:00</t>
  </si>
  <si>
    <t>+79139660477</t>
  </si>
  <si>
    <t>epgu@omsu.ru</t>
  </si>
  <si>
    <t>Омский государственный университет путей сообщения</t>
  </si>
  <si>
    <t>1025500972848</t>
  </si>
  <si>
    <t>pkomgups@mail.ru</t>
  </si>
  <si>
    <t>644046, Омск, пр. Маркса, 35</t>
  </si>
  <si>
    <t>8 (3812) 31-06-22</t>
  </si>
  <si>
    <t>Ордена Дружбы народов Институт этнологии и антропологии им. Н.Н. Миклухо-Маклая Российской академии наук</t>
  </si>
  <si>
    <t>1037739351473</t>
  </si>
  <si>
    <t>education@iea.ras.ru</t>
  </si>
  <si>
    <t>119334, Москва, Ленинский проспект, 32</t>
  </si>
  <si>
    <t>понедельник-четверг: 10:00-17:00 пятница: 10-16:30 суббота и воскресенье: выходной</t>
  </si>
  <si>
    <t>+7 919 2106025</t>
  </si>
  <si>
    <t>Ордена Ленина и Ордена Октябрьской Революции Институт геохимии и аналитической химии им. В.И. Вернадского Российской академии наук</t>
  </si>
  <si>
    <t>1037739466544</t>
  </si>
  <si>
    <t>+7(495)939-70-64</t>
  </si>
  <si>
    <t>aspirantura@geokhi.ru</t>
  </si>
  <si>
    <t>119991, МОСКВА, УЛИЦА КОСЫГИНА, 19</t>
  </si>
  <si>
    <t>понедельник-четверг: 12:00-18:00 пятница: 12:00-17:00 суббота и воскресенье: выходной</t>
  </si>
  <si>
    <t>Ордена Трудового Красного Знамени Институт нефтехимического синтеза им. А.В. Топчиева Российской академии наук</t>
  </si>
  <si>
    <t>1027739824991</t>
  </si>
  <si>
    <t>119991, Москва, Ленинский проспект, 29</t>
  </si>
  <si>
    <t>понедельник-пятница: с 10:00 до 18:00 суббота и воскресенье: выходной</t>
  </si>
  <si>
    <t>+7(925)876-83-29</t>
  </si>
  <si>
    <t>aspirantura@ips.ac.ru</t>
  </si>
  <si>
    <t>Ордена Трудового Красного Знамени Никитский ботанический сад-Национальный научный центр РАН</t>
  </si>
  <si>
    <t>1159102130329</t>
  </si>
  <si>
    <t>Ялта, пгт Никита</t>
  </si>
  <si>
    <t>298648, Ялта, пгт Никита, Спуск Никитский, 52</t>
  </si>
  <si>
    <t>+73654250530</t>
  </si>
  <si>
    <t>priemnaya.nbs-nnc@yandex.ru</t>
  </si>
  <si>
    <t>Оренбургская духовная семинария Оренбургской Епархии Русской Православной Церкви</t>
  </si>
  <si>
    <t>1095600000968</t>
  </si>
  <si>
    <t>Оренбургская область</t>
  </si>
  <si>
    <t>(3532) 43-13-24</t>
  </si>
  <si>
    <t>Оренбург</t>
  </si>
  <si>
    <t>460014, Оренбург, Челюскинцев, 17</t>
  </si>
  <si>
    <t>понедельник-пятница: 10:00-16:30, суббота и воскресенье: выходной</t>
  </si>
  <si>
    <t>orends@mail.ru</t>
  </si>
  <si>
    <t>Оренбургский государственный аграрный университет</t>
  </si>
  <si>
    <t>1025601020521</t>
  </si>
  <si>
    <t>pk@orensau.ru</t>
  </si>
  <si>
    <t>460014, Оренбург, Челюскинцев, 18</t>
  </si>
  <si>
    <t>Понедельник-пятница: 9:00 - 17:00 Суббота: 9:00 - 13:00 Воскресенье: выходной</t>
  </si>
  <si>
    <t>8 (3532) 30-65-45</t>
  </si>
  <si>
    <t>Оренбургский государственный институт искусств им. Л. и М. Ростроповичей</t>
  </si>
  <si>
    <t>1025601037098</t>
  </si>
  <si>
    <t>priem@osiart.ru</t>
  </si>
  <si>
    <t>460000, Оренбург, Советская, 17</t>
  </si>
  <si>
    <t>Понедельник-пятница: 10:00-17:00 суббота: 10:00-13:00 воскресенье: выходной</t>
  </si>
  <si>
    <t>8(3532)67-71-32</t>
  </si>
  <si>
    <t>Оренбургский государственный медицинский университет</t>
  </si>
  <si>
    <t>1035605503878</t>
  </si>
  <si>
    <t>abiturient@orgma.ru</t>
  </si>
  <si>
    <t>460014, Оренбург, Советская, 6</t>
  </si>
  <si>
    <t>+7 3532 50-06-03</t>
  </si>
  <si>
    <t>Оренбургский государственный педагогический университет</t>
  </si>
  <si>
    <t>1025601032544</t>
  </si>
  <si>
    <t>город Оренбург</t>
  </si>
  <si>
    <t>460014, город Оренбург, улица Советская, 19</t>
  </si>
  <si>
    <t>83532500393</t>
  </si>
  <si>
    <t>priem_ospu@ospu.ru</t>
  </si>
  <si>
    <t>Оренбургский государственный университет имени В.А. Бондаренко</t>
  </si>
  <si>
    <t>1025601802698</t>
  </si>
  <si>
    <t>460018, Оренбург, проспект Победы, 13</t>
  </si>
  <si>
    <t>понедельник-пятница: 10:00-16:00; суббота: 9:00-14:00; воскресенье: выходной</t>
  </si>
  <si>
    <t>+7(922)542-40-57</t>
  </si>
  <si>
    <t>priem@mail.osu.ru</t>
  </si>
  <si>
    <t>Оренбургский федеральный исследовательский центр Уральского отделения Российской академии наук</t>
  </si>
  <si>
    <t>1035608451042</t>
  </si>
  <si>
    <t>annaryabukha@yandex.ru</t>
  </si>
  <si>
    <t>460014, Оренбург, Набережная, 29</t>
  </si>
  <si>
    <t>+79033975982</t>
  </si>
  <si>
    <t>Орловский государственный аграрный университет имени Н.В. Парахина</t>
  </si>
  <si>
    <t>1025700824698</t>
  </si>
  <si>
    <t>priem3@orelsau.ru</t>
  </si>
  <si>
    <t>Орел</t>
  </si>
  <si>
    <t>302019, Орел, Генерала Родина, 69</t>
  </si>
  <si>
    <t>8(4862)43-69-98</t>
  </si>
  <si>
    <t>Орловский государственный институт культуры</t>
  </si>
  <si>
    <t>1025700827712</t>
  </si>
  <si>
    <t>8(4862) 41-52-13</t>
  </si>
  <si>
    <t>priem@ogik.ru</t>
  </si>
  <si>
    <t>302020, Орел, Лескова, 15</t>
  </si>
  <si>
    <t>График работы: с 1 сентября по 19 июня: понедельник - пятница: 8.30-17.30, перерыв 13:00-14:00, суббота и воскресенье выходной; с 20 июня по 31 августа: понедельник - пятница: 9:00-16:00, перерыв 13:00-14:00, суббота: 9:00-13:00, воскресенье - выходной.</t>
  </si>
  <si>
    <t>Орловский государственный университет имени И.С. Тургенева</t>
  </si>
  <si>
    <t>1025700786462</t>
  </si>
  <si>
    <t>302026, Орел, Комсомольская, 95</t>
  </si>
  <si>
    <t>+7 (4862) 41-77-77</t>
  </si>
  <si>
    <t>priem@oreluniver.ru</t>
  </si>
  <si>
    <t>Открытый университет экономики, управления и права</t>
  </si>
  <si>
    <t>1167700074959</t>
  </si>
  <si>
    <t>8 (495) 668-82-98</t>
  </si>
  <si>
    <t>info@ouep.ru</t>
  </si>
  <si>
    <t>109029, Москва, ул. Нижегородская, 32</t>
  </si>
  <si>
    <t>Палеонтологический институт им. А.А. Борисяка Российской академии наук</t>
  </si>
  <si>
    <t>1037739309123</t>
  </si>
  <si>
    <t>zakrevskaya@paleo.ru</t>
  </si>
  <si>
    <t>117647, МОСКВА, УЛИЦА ПРОФСОЮЗНАЯ, 123</t>
  </si>
  <si>
    <t>понедельник-пятница: 11:00-17:00; суббота и воскресенье: выходной</t>
  </si>
  <si>
    <t>+7 906 044-15-82</t>
  </si>
  <si>
    <t>Пензенский государственный аграрный университет</t>
  </si>
  <si>
    <t>1025801107078</t>
  </si>
  <si>
    <t>Пензенская область</t>
  </si>
  <si>
    <t>Пенза</t>
  </si>
  <si>
    <t>440014, Пенза, Ботаническая, 30</t>
  </si>
  <si>
    <t>Понедельник-суббота 8:00-17:00; воскресенье 9:00-13:00</t>
  </si>
  <si>
    <t>8 (8412) 62-84-84</t>
  </si>
  <si>
    <t>priem@pgau.ru</t>
  </si>
  <si>
    <t>Пензенский государственный технологический университет</t>
  </si>
  <si>
    <t>1045802502690</t>
  </si>
  <si>
    <t>440039, Пенза, проезд Байдукова/ ул.Гагарина, 1а/11</t>
  </si>
  <si>
    <t>Понедельник – пятница 8.30-17.30</t>
  </si>
  <si>
    <t>8 (841-2) 20-42-27</t>
  </si>
  <si>
    <t>prk@penzgtu.ru</t>
  </si>
  <si>
    <t>Пензенский государственный университет</t>
  </si>
  <si>
    <t>1025801440620</t>
  </si>
  <si>
    <t>440026, Пенза, Красная, 40</t>
  </si>
  <si>
    <t>+7 (8412) 66-62-32</t>
  </si>
  <si>
    <t>priem@pnzgu.ru</t>
  </si>
  <si>
    <t>Пензенский государственный университет архитектуры и строительства</t>
  </si>
  <si>
    <t>1025801202624</t>
  </si>
  <si>
    <t>440028, Пенза, Германа Титова, 28</t>
  </si>
  <si>
    <t>понедельник-пятница: 8:30-17:00 суббота: 8.30-14:00</t>
  </si>
  <si>
    <t>+7 (8412) 48-74-75</t>
  </si>
  <si>
    <t>komis@pguas.ru</t>
  </si>
  <si>
    <t>Первый Московский государственный медицинский университет имени И.М. Сеченова Министерства здравоохранения Российской Федерации (Сеченовский Университет)</t>
  </si>
  <si>
    <t>1027739291580</t>
  </si>
  <si>
    <t>119991, Москва, Трубецкая, 8</t>
  </si>
  <si>
    <t>+7 (495) 622-98-20</t>
  </si>
  <si>
    <t>pk@staff.sechenov.ru</t>
  </si>
  <si>
    <t>Первый Санкт-Петербургский государственный медицинский университет имени академика И.П. Павлова</t>
  </si>
  <si>
    <t>1037828001606</t>
  </si>
  <si>
    <t>priemkom@spb-gmu.ru</t>
  </si>
  <si>
    <t>197022, Санкт-Петербург, ул. Льва Толстого, 6-8</t>
  </si>
  <si>
    <t>понедельник-пятница: 10:00-16:00 суббота: 10:00-14:00, воскресенье: выходной</t>
  </si>
  <si>
    <t>+7-812-338-71-12</t>
  </si>
  <si>
    <t>Пермский государственный аграрно-технологический университет имени академика Д.Н. Прянишникова</t>
  </si>
  <si>
    <t>1025900524451</t>
  </si>
  <si>
    <t>614990, Пермь, Петропавловская, 23</t>
  </si>
  <si>
    <t>понедельник-пятница: 10:00-18:00, суббота: 10:00-13:00, воскресенье: выходной</t>
  </si>
  <si>
    <t>+7(342)2179817</t>
  </si>
  <si>
    <t>priemkom@pgatu.ru</t>
  </si>
  <si>
    <t>Пермский государственный гуманитарно-педагогический университет</t>
  </si>
  <si>
    <t>1025900887044</t>
  </si>
  <si>
    <t>614990, Пермь, Сибирская, 24</t>
  </si>
  <si>
    <t>понедельник-четверг: 10:00-18:00 пятница: 10:00-17:00, суббота 10:00-15:00, воскресенье: выходной</t>
  </si>
  <si>
    <t>+7 (342) 215-18-54</t>
  </si>
  <si>
    <t>priem@pspu.ru</t>
  </si>
  <si>
    <t>Пермский государственный институт культуры</t>
  </si>
  <si>
    <t>1025900519732</t>
  </si>
  <si>
    <t>614000, Пермь, Газеты Звезда, 18</t>
  </si>
  <si>
    <t>понедельник-пятница: 10:00-18:00 суббота: 10:00-13:00 воскресенье: выходной</t>
  </si>
  <si>
    <t>8(342)212-09-90</t>
  </si>
  <si>
    <t>abit-pgiik@yandex.ru</t>
  </si>
  <si>
    <t>Пермский государственный медицинский университет имени академика Е.А. Вагнера Министерства здравоохранения Российской Федерации</t>
  </si>
  <si>
    <t>1025900528873</t>
  </si>
  <si>
    <t>614990, Пермь, Петропавловская, 26</t>
  </si>
  <si>
    <t>Понедельник-пятница: 10:00-17:00 суббота и воскресенье: выходной</t>
  </si>
  <si>
    <t>+7 (342) 276-01-04</t>
  </si>
  <si>
    <t>priem@psmu.ru</t>
  </si>
  <si>
    <t>Пермский государственный национальный исследовательский университет</t>
  </si>
  <si>
    <t>1025900762150</t>
  </si>
  <si>
    <t>614990, Пермь, Букирева, 15</t>
  </si>
  <si>
    <t>"понедельник-четверг: 10:00-17:00 пятница: 10:00-16:30 суббота и воскресенье: выходной"</t>
  </si>
  <si>
    <t>`+7 (342) 239-65-89 +7 (34253) 2-43-12</t>
  </si>
  <si>
    <t>entrance.examination@psu.ru pkomis@solgpi.ru</t>
  </si>
  <si>
    <t>Пермский национальный исследовательский политехнический университет</t>
  </si>
  <si>
    <t>1025900513924</t>
  </si>
  <si>
    <t>614990, Пермь, ул. Комсомольский проспект, 29</t>
  </si>
  <si>
    <t>Порядок работы (с 20 июня по 29 августа): Понедельник – пятница: с 10:00-18:00 Суббота: с 10:00-13:00 Выходные дни: воскресенье</t>
  </si>
  <si>
    <t>+7 (342) 2-198-065</t>
  </si>
  <si>
    <t>enter@pstu.ru</t>
  </si>
  <si>
    <t>Пермский федеральный исследовательский центр Уральского отделения Российской академии наук</t>
  </si>
  <si>
    <t>1025900517378</t>
  </si>
  <si>
    <t>+7 (342) 212-40-78</t>
  </si>
  <si>
    <t>aspirantura@permsc.ru</t>
  </si>
  <si>
    <t>614000, Пермь, Ленина, 13</t>
  </si>
  <si>
    <t>Петербургский государственный университет путей сообщения Императора Александра I</t>
  </si>
  <si>
    <t>1027810241502</t>
  </si>
  <si>
    <t>190031, Санкт-Петербург, Московский проспект, 9</t>
  </si>
  <si>
    <t>Понедельник - четверг: 9:00 - 17:30, пятница 9:00 - 16-30, суббота и воскресенье - выходной</t>
  </si>
  <si>
    <t>8 (800) 302-06-60</t>
  </si>
  <si>
    <t>primkom@pgups.ru</t>
  </si>
  <si>
    <t>Министерство энергетики Российской Федерации (Минэнерго России)</t>
  </si>
  <si>
    <t>Петербургский энергетический институт повышения квалификации</t>
  </si>
  <si>
    <t>1037821027683</t>
  </si>
  <si>
    <t>uds@peipk.spb.ru</t>
  </si>
  <si>
    <t>196135, Санкт-Петербург, Авиационная, 23</t>
  </si>
  <si>
    <t>+78122436706</t>
  </si>
  <si>
    <t>Петрозаводская государственная консерватория имени А.К. Глазунова</t>
  </si>
  <si>
    <t>1031000000778</t>
  </si>
  <si>
    <t>admission@glazunovcons.ru</t>
  </si>
  <si>
    <t>185031, Петрозаводск, Ленинградская, 16</t>
  </si>
  <si>
    <t>Понедельник-пятница: 9:00-17:00 Суббота-воскресенье: выходной</t>
  </si>
  <si>
    <t>+7(921)460-86-88</t>
  </si>
  <si>
    <t>Петрозаводский государственный университет</t>
  </si>
  <si>
    <t>1021000519935</t>
  </si>
  <si>
    <t>185910, Петрозаводск, пр. Ленина, 33</t>
  </si>
  <si>
    <t>По 19 июня и после 20 августа понедельник - пятница: 09:30 - 17:00 суббота и воскресенье выходной С 20 июня по 20 августа понедельник-пятница: 8:00 - 20:00 суббота и воскресенье: выходной</t>
  </si>
  <si>
    <t>По 19 июня и после 20 августа 8 8142 71-10-30 С 20 июня по 20 августа 8 8142 78-14-61</t>
  </si>
  <si>
    <t>priem@petrsu.ru</t>
  </si>
  <si>
    <t>Поволжская академия образования и искусств имени Святителя Алексия, митрополита Московского</t>
  </si>
  <si>
    <t>1136300003201</t>
  </si>
  <si>
    <t>445028, Тольятти, Революционная, 74</t>
  </si>
  <si>
    <t>8-848-2-42-35-23 (добавочный 109)</t>
  </si>
  <si>
    <t>ppi@pravtlt.ru</t>
  </si>
  <si>
    <t>Поволжский государственный технологический университет</t>
  </si>
  <si>
    <t>1021200768896</t>
  </si>
  <si>
    <t>424000, Йошкар-Ола, площадь Ленина, 3</t>
  </si>
  <si>
    <t>понедельник-пятница: 8:00-17:00 суббота: 8:00-12:00 воскресенье: выходной</t>
  </si>
  <si>
    <t>+7(8362)687808</t>
  </si>
  <si>
    <t>priem@volgatech.net</t>
  </si>
  <si>
    <t>Поволжский государственный университет сервиса</t>
  </si>
  <si>
    <t>1036300992067</t>
  </si>
  <si>
    <t>8(8482)22-22-83</t>
  </si>
  <si>
    <t>445017, Тольятти, Гагарина, 4</t>
  </si>
  <si>
    <t>Понедельник - Пятница: 09:00 - 17:00 Суббота: 09:00-13:00 Воскресенье: выходной</t>
  </si>
  <si>
    <t>priem@tolgas.ru</t>
  </si>
  <si>
    <t>Поволжский государственный университет телекоммуникаций и информатики</t>
  </si>
  <si>
    <t>1026301421992</t>
  </si>
  <si>
    <t>443010, Самара, Льва Толстого, 23</t>
  </si>
  <si>
    <t>понедельник-пятница: 9.00-17.00 суббота: 9.00-12.00</t>
  </si>
  <si>
    <t>8(846)339-11-04</t>
  </si>
  <si>
    <t>abiturient@psuti.ru</t>
  </si>
  <si>
    <t>Поволжский государственный университет физической культуры, спорта и туризма</t>
  </si>
  <si>
    <t>1021602012190</t>
  </si>
  <si>
    <t>pk@sportacadem.ru</t>
  </si>
  <si>
    <t>420010, Казань, территория Деревня Универсиады, 35</t>
  </si>
  <si>
    <t>с 9.00 до 18.00 пн-пт; с 9.00 до 12.00 сб; выходной вс.</t>
  </si>
  <si>
    <t>+7 (843) 294-90-90</t>
  </si>
  <si>
    <t>Поволжский научно-исследовательский институт производства и переработки мясомолочной продукции</t>
  </si>
  <si>
    <t>1023403440521</t>
  </si>
  <si>
    <t>niimmp@mail.ru</t>
  </si>
  <si>
    <t>400131, Волгоград, им. Рокоссовского, 6</t>
  </si>
  <si>
    <t>понедельник-четверг 9:00-16:00, перерыв с 12:30-13:30; пятница с 9:00-13:00 суббота и воскресенье: выходной</t>
  </si>
  <si>
    <t>+78442391048</t>
  </si>
  <si>
    <t>Подольский социально-спортивный институт</t>
  </si>
  <si>
    <t>1185000002406</t>
  </si>
  <si>
    <t>Подольск</t>
  </si>
  <si>
    <t>142116, Подольск, Халатова, 3</t>
  </si>
  <si>
    <t>Понедельник-пятница: 09:00-17:30, суббота и воскресенье - выходной.</t>
  </si>
  <si>
    <t>+79258183406</t>
  </si>
  <si>
    <t>pssi18@bk.ru</t>
  </si>
  <si>
    <t>Полярный геофизический институт</t>
  </si>
  <si>
    <t>1025100855922</t>
  </si>
  <si>
    <t>skiotis@pgi.ru</t>
  </si>
  <si>
    <t>183010, Мурманск, Халтурина, 15</t>
  </si>
  <si>
    <t>Понедельник-Четверг 10:00-16:00 суббота и воскресенье:выходной</t>
  </si>
  <si>
    <t>88152 253958</t>
  </si>
  <si>
    <t>Почвенный институт имени В.В. Докучаева</t>
  </si>
  <si>
    <t>1037739462529</t>
  </si>
  <si>
    <t>8 (495) 951-50-37</t>
  </si>
  <si>
    <t>danilin_iv@esoil.ru</t>
  </si>
  <si>
    <t>119017, МОСКВА,  ПЕРЕУЛОК ПЫЖЕВСКИЙ, д 7</t>
  </si>
  <si>
    <t>понедельник-пятница 10:00-16:30</t>
  </si>
  <si>
    <t>Православный Свято-Тихоновский гуманитарный университет</t>
  </si>
  <si>
    <t>1027705030330</t>
  </si>
  <si>
    <t>115184, Москва, Новокузнецкая, 23Б</t>
  </si>
  <si>
    <t>понедельник-суббота: 10:00 - 18:00 и воскресенье - выходной</t>
  </si>
  <si>
    <t>8(495) 114-50-85</t>
  </si>
  <si>
    <t>scherbakova.y@pstgu.ru</t>
  </si>
  <si>
    <t>Приамурский государственный университет имени Шолом-Алейхема</t>
  </si>
  <si>
    <t>1027900508195</t>
  </si>
  <si>
    <t>679015, Биробиджан, Широкая, 70а</t>
  </si>
  <si>
    <t>Понедельник-пятница: с 02:00-10:00 Обед с 5.30 до 6.30 Суббота: с 02:00-07:00 (по Московскому времени) Воскресенье: выходной</t>
  </si>
  <si>
    <t>+7 (42622) 46-8-46 +7 (924) 747-02-08</t>
  </si>
  <si>
    <t>abiturient@pgusa.ru</t>
  </si>
  <si>
    <t>Приволжский государственный университет путей сообщения</t>
  </si>
  <si>
    <t>1026301504789</t>
  </si>
  <si>
    <t>443066, Самара, Свободы, 2В</t>
  </si>
  <si>
    <t>Понедельник-четверг: 8:30-17:30, четверг: 8:30-16:30, суббота и воскресенье: выходной</t>
  </si>
  <si>
    <t>8-846-200-21-75</t>
  </si>
  <si>
    <t>prkom@samgups.ru</t>
  </si>
  <si>
    <t>Приволжский исследовательский медицинский университет</t>
  </si>
  <si>
    <t>1025203045482</t>
  </si>
  <si>
    <t>priem@pimunn.net</t>
  </si>
  <si>
    <t>603005, Нижний Новгород, пл. Минина и Пожарского, 10/1</t>
  </si>
  <si>
    <t>понедельник-пятница: 9:00 - 17:00 суббота: 9:00 - 14.00 и воскресенье: выходной</t>
  </si>
  <si>
    <t>88314222049</t>
  </si>
  <si>
    <t>Прикамский социальный институт</t>
  </si>
  <si>
    <t>1025901221345</t>
  </si>
  <si>
    <t>614002, Пермь, Чернышевского, 28</t>
  </si>
  <si>
    <t>(342)214-26-16</t>
  </si>
  <si>
    <t>pkpsi@yandex.ru</t>
  </si>
  <si>
    <t>Приморский государственный аграрно-технологический университет</t>
  </si>
  <si>
    <t>1022500858698</t>
  </si>
  <si>
    <t>Уссурийск</t>
  </si>
  <si>
    <t>692510, Уссурийск, проспект Блюхера, 44</t>
  </si>
  <si>
    <t>Понедельник-пятница с 8-00 до 17-00 С 20 июня по 31 августа: суббота с 9-00 до 13-00 Воскресенье - выходной день</t>
  </si>
  <si>
    <t>8 (4234) 26-54-34</t>
  </si>
  <si>
    <t>prikom@primacad.ru</t>
  </si>
  <si>
    <t>Психиатрическая клиническая больница №1 им. Н.А. Алексеева Департамента здравоохранения города Москвы</t>
  </si>
  <si>
    <t>1037726005514</t>
  </si>
  <si>
    <t>117152, Москва, Загородное ш., 2</t>
  </si>
  <si>
    <t>понедельник-пятница: 8:30-17:15 суббота и воскресенье: выходной</t>
  </si>
  <si>
    <t>+7(495)952-11-14 (доб. 16201, 16203, 16216)</t>
  </si>
  <si>
    <t>VEDK-pkb1-priem@zdrav.mos.ru</t>
  </si>
  <si>
    <t>ПСКОВО-ПЕЧЕРСКАЯ ДУХОВНАЯ СЕМИНАРИЯ</t>
  </si>
  <si>
    <t>1217700327866</t>
  </si>
  <si>
    <t>Печоры</t>
  </si>
  <si>
    <t>181500, Печоры, Юрьевская, 82А</t>
  </si>
  <si>
    <t>Понедельник-пятница: 9:00-18:00; перерыв на обед: 13:00-14:00; суббота и воскресение: выходной</t>
  </si>
  <si>
    <t>+7-953-240-51-52</t>
  </si>
  <si>
    <t>ppseminary-priem@yandex.ru</t>
  </si>
  <si>
    <t>Псковский государственный университет</t>
  </si>
  <si>
    <t>1116027013255</t>
  </si>
  <si>
    <t>Псков</t>
  </si>
  <si>
    <t>180000, Псков, площадь Ленина, 2</t>
  </si>
  <si>
    <t>+7 (811) 220-16-95</t>
  </si>
  <si>
    <t>priem@pskgu.ru</t>
  </si>
  <si>
    <t>Пятигорский государственный университет</t>
  </si>
  <si>
    <t>1022601613374</t>
  </si>
  <si>
    <t>г. Пятигорск</t>
  </si>
  <si>
    <t>357532, г. Пятигорск, пр. Калинина, 9</t>
  </si>
  <si>
    <t>Понедельник, вторник, среда, четверг, пятница – с 9.00 до 17.00 часов</t>
  </si>
  <si>
    <t>+7 (928) 267-00-50</t>
  </si>
  <si>
    <t>priemkom@pgu.ru</t>
  </si>
  <si>
    <t>РАВВИНСКИЙ ИНСТИТУТ "ОПОРА ЦЕЛЬНЫМ (ЕШИВА "ТОМХЕЙ ТМИМИМ") ЛЮБАВИЧ"</t>
  </si>
  <si>
    <t>1087799005095</t>
  </si>
  <si>
    <t>Введенское</t>
  </si>
  <si>
    <t>141214, Введенское, -, -</t>
  </si>
  <si>
    <t>понедельник-четверг 10-16, пятница 10-12. суббота воскресение выходной</t>
  </si>
  <si>
    <t>7 915 444-97-70</t>
  </si>
  <si>
    <t>инфо@ешива.орг.ру</t>
  </si>
  <si>
    <t>Региональный открытый социальный институт</t>
  </si>
  <si>
    <t>1034637002289</t>
  </si>
  <si>
    <t>305009, Курск, Маяковского, 85</t>
  </si>
  <si>
    <t>понедельник- пятница с 10:00 до 17:00 мск</t>
  </si>
  <si>
    <t>+7(4712)44-63-23</t>
  </si>
  <si>
    <t>priem@rosi-edu.ru</t>
  </si>
  <si>
    <t>РЕЛИГИОЗНАЯ ОРГАНИЗАЦИЯ - ДУХОВНАЯ ОБРАЗОВАТЕЛЬНАЯ ОРГАНИЗАЦИЯ ВЫСШЕГО ОБРАЗОВАНИЯ «ЕКАТЕРИНБУРГСКАЯ ДУХОВНАЯ СЕМИНАРИЯ ЕКАТЕРИНБУРГСКОЙ ЕПАРХИИ РУССКОЙ ПРАВОСЛАВНОЙ ЦЕРКВИ»</t>
  </si>
  <si>
    <t>1036605601856</t>
  </si>
  <si>
    <t>Образовательные учреждения общего образования</t>
  </si>
  <si>
    <t>620026, Екатеринбург, Розы Люксембург, 57</t>
  </si>
  <si>
    <t>понедельник-пятница: 9:00-17:00 суббота и воскресенье: выходные</t>
  </si>
  <si>
    <t>+7 (912) 260-03-64</t>
  </si>
  <si>
    <t>priem-eds@yandex.ru</t>
  </si>
  <si>
    <t>Религиозная организация - духовная образовательная организация высшего образования «Кузбасская православная духовная семинария Кемеровской Епархии Русской Православной Церкви (Московский Патриархат)»</t>
  </si>
  <si>
    <t>1034200010074</t>
  </si>
  <si>
    <t>svetlanat05@mail.ru</t>
  </si>
  <si>
    <t>654025, Новокузнецк, Зыряновская, 97</t>
  </si>
  <si>
    <t>Понедельник - пятница: с 09:00 до 17:00 Обеденный перерыв: с 12:30 до 13:00 Выходные: суббота, воскресенье</t>
  </si>
  <si>
    <t>(3843) 50-00-96</t>
  </si>
  <si>
    <t>Религиозная организация - духовная образовательная организация высшего образования «Московская духовная академия Русской Православной Церкви»</t>
  </si>
  <si>
    <t>1035000010616</t>
  </si>
  <si>
    <t>ab.mda@ya.ru</t>
  </si>
  <si>
    <t>Сергиев Посад</t>
  </si>
  <si>
    <t>141300, Сергиев Посад, Троице-Сергиева Лавра, нет</t>
  </si>
  <si>
    <t>понедельник-пятница: 9:00-17:00; суббота и воскресенье: выходной</t>
  </si>
  <si>
    <t>+79637706344</t>
  </si>
  <si>
    <t>Религиозная организация - духовная образовательная организация высшего образования «Самарская духовная семинария Самарской Епархии Русской Православной Церкви»</t>
  </si>
  <si>
    <t>1036303387086</t>
  </si>
  <si>
    <t>443125, Самара, Радонежская, 2</t>
  </si>
  <si>
    <t>понедельник - пятница: 9:00-17:00 суббота и воскресенье: выходные</t>
  </si>
  <si>
    <t>8(846) 336-35-11 (доб. 5)</t>
  </si>
  <si>
    <t>samds.priem@gmail.com</t>
  </si>
  <si>
    <t>Религиозная организация - духовная образовательная организация высшего образования «Санкт-Петербургская Духовная Академия Русской Православной Церкви»</t>
  </si>
  <si>
    <t>1037858007758</t>
  </si>
  <si>
    <t>191167, г.Санкт-Петербург, наб. Обводного канала, 17</t>
  </si>
  <si>
    <t>+7(921)314-58-54</t>
  </si>
  <si>
    <t>abiturient@spbda.ru</t>
  </si>
  <si>
    <t>Религиозная организация - духовная образовательная организация высшего образования «Смоленская Православная Духовная Семинария Смоленской Епархии Русской Православной Церкви»</t>
  </si>
  <si>
    <t>1026700001976</t>
  </si>
  <si>
    <t>seminarysmol@mail.ru</t>
  </si>
  <si>
    <t>214000, Смоленск, Тимирязева, 5</t>
  </si>
  <si>
    <t>Понедельник - пятница: 9:00 - 16:00</t>
  </si>
  <si>
    <t>+74812221240</t>
  </si>
  <si>
    <t>Религиозная организация -духовная образовательная организация высшего образования «Пензенская духовная семинария Пензенской Епархии Русской Православной Церкви»</t>
  </si>
  <si>
    <t>1025800007551</t>
  </si>
  <si>
    <t>penza.seminaria@yandex.ru</t>
  </si>
  <si>
    <t>440023, Пенза, Перекоп, 4</t>
  </si>
  <si>
    <t>(8412) 209509</t>
  </si>
  <si>
    <t>Религиозная организация духовная образовательная организация высшего образования «Новосибирская православная духовная семинария Новосибирской Епархии Русской Православной Церкви»</t>
  </si>
  <si>
    <t>1125499000054</t>
  </si>
  <si>
    <t>Обь</t>
  </si>
  <si>
    <t>633103, Обь, Военный городок, 127</t>
  </si>
  <si>
    <t>понедельник-пятница 9:00-16:00</t>
  </si>
  <si>
    <t>+7 951 380-29-00</t>
  </si>
  <si>
    <t>umo.npds@yandex.ru</t>
  </si>
  <si>
    <t>Религиозная организация – духовная образовательная организация высшего образования «Саранская духовная семинария Саранской и Мордовской Епархии Русской Православной Церкви»</t>
  </si>
  <si>
    <t>1031322001590</t>
  </si>
  <si>
    <t>sdssaransk@gmail.com</t>
  </si>
  <si>
    <t>430005, Саранск, Саранская, 67</t>
  </si>
  <si>
    <t>+78342472838, 89271703721</t>
  </si>
  <si>
    <t>Республиканский академический научно-исследовательский и проектно-конструкторский институт горной геологии, геомеханики, геофизики и маркшейдерского дела</t>
  </si>
  <si>
    <t>1229300004174</t>
  </si>
  <si>
    <t>aspirant12042024@mail.ru</t>
  </si>
  <si>
    <t>283001, Донецк, Челюскинцев, 291</t>
  </si>
  <si>
    <t>понедельник-пятница:9:00-16:30 суббота и воскресенье: выходной</t>
  </si>
  <si>
    <t>+79493214271</t>
  </si>
  <si>
    <t>Российская академия живописи, ваяния и зодчества Ильи Глазунова</t>
  </si>
  <si>
    <t>1037739372110</t>
  </si>
  <si>
    <t>priemnaya_komissija@glazunov-academy.ru</t>
  </si>
  <si>
    <t>101000, Москва, Мясницкая, 21</t>
  </si>
  <si>
    <t>понедельник-пятница: 10:00 - 18:00, суббота,воскресенье- выходной</t>
  </si>
  <si>
    <t>+7 (989) 149-13-50</t>
  </si>
  <si>
    <t>Российская академия музыки имени Гнесиных</t>
  </si>
  <si>
    <t>1027739774589</t>
  </si>
  <si>
    <t>121069, Москва, ул. Поварская, 30-36</t>
  </si>
  <si>
    <t>+7 495 690-69-63</t>
  </si>
  <si>
    <t>priem@gnesin-academy.ru</t>
  </si>
  <si>
    <t>Российская академия народного хозяйства и государственной службы при Президенте Российской Федерации</t>
  </si>
  <si>
    <t>1027739610018</t>
  </si>
  <si>
    <t>119571, Москва, Проспект Вернадского 84, корпус 3, 82</t>
  </si>
  <si>
    <t>понедельник-пятница: 9:00-19:00 суббота: 9:00-15:00 воскресенье: выходной</t>
  </si>
  <si>
    <t>+7 (499) 956-99-99</t>
  </si>
  <si>
    <t>pkranepa@ranepa.ru</t>
  </si>
  <si>
    <t>Федеральная служба по интеллектуальной собственности (Роспатент)</t>
  </si>
  <si>
    <t>Российская государственная академия интеллектуальной собственности</t>
  </si>
  <si>
    <t>1027700083850</t>
  </si>
  <si>
    <t>117279, Москва, ул. Миклухо-Маклая, 55а</t>
  </si>
  <si>
    <t>+7 (495) 330-12-38</t>
  </si>
  <si>
    <t>priem@rgiis.ru</t>
  </si>
  <si>
    <t>Российская государственная специализированная академия искусств</t>
  </si>
  <si>
    <t>1057730010810</t>
  </si>
  <si>
    <t>121165, Москва, Резервный проезд, 12</t>
  </si>
  <si>
    <t>понедельник-воскресенье: 10:00-17:00</t>
  </si>
  <si>
    <t>+7 (916) 096-01-15</t>
  </si>
  <si>
    <t>postuplenie@rgsai.ru</t>
  </si>
  <si>
    <t>Российская медицинская академия непрерывного профессионального образования</t>
  </si>
  <si>
    <t>1027739445876</t>
  </si>
  <si>
    <t>125993, Москва, ул. Баррикадная, д. 2/1, стр. 1, ул. Баррикадная, д. 2/1, стр. 1</t>
  </si>
  <si>
    <t>+74956800599 доб.1515</t>
  </si>
  <si>
    <t>priem@rmapo.ru</t>
  </si>
  <si>
    <t>Российская международная академия туризма</t>
  </si>
  <si>
    <t>1025006178328</t>
  </si>
  <si>
    <t>Сходня</t>
  </si>
  <si>
    <t>141420, Сходня, Октябрьская, 10</t>
  </si>
  <si>
    <t>понедельник - пятница: 9.00-17.30, суббота и воскресенье: выходной</t>
  </si>
  <si>
    <t>+74955740132</t>
  </si>
  <si>
    <t>priemkom@rmat.ru</t>
  </si>
  <si>
    <t>Федеральная таможенная служба (ФТС России)</t>
  </si>
  <si>
    <t>Российская таможенная академия</t>
  </si>
  <si>
    <t>1035005015770</t>
  </si>
  <si>
    <t>+ 7 495 500 13 32</t>
  </si>
  <si>
    <t>pkrta@customs-academy.ru</t>
  </si>
  <si>
    <t>Люберцы</t>
  </si>
  <si>
    <t>140074, Люберцы, Комсомольский проспект, 4</t>
  </si>
  <si>
    <t>Понедельник-четверг: 9:00-17:45 пятница: 9:00-16:30 суббота и воскресенье: выходной</t>
  </si>
  <si>
    <t>Российская экономическая школа</t>
  </si>
  <si>
    <t>1037739159424</t>
  </si>
  <si>
    <t>121353, Москва, Сколковское шоссе, 45</t>
  </si>
  <si>
    <t>понедельник-пятница: 10:00-18:00, суббота и воскресенье: выходной</t>
  </si>
  <si>
    <t>+79932227993</t>
  </si>
  <si>
    <t>abitur@nes.ru</t>
  </si>
  <si>
    <t>Российский биотехнологический университет (РОСБИОТЕХ)</t>
  </si>
  <si>
    <t>1037739533699</t>
  </si>
  <si>
    <t>125080, Москва, Волоколамское шоссе, 11</t>
  </si>
  <si>
    <t>Понедельник-пятница: 10:00-18:00 Суббота: 10:00-16:00 Воскресенье: выходной</t>
  </si>
  <si>
    <t>+7 (499) 750-00-05</t>
  </si>
  <si>
    <t>priem@mgupp.ru</t>
  </si>
  <si>
    <t>Российский государственный аграрный университет - МСХА имени К.А. Тимирязева</t>
  </si>
  <si>
    <t>1037739630697</t>
  </si>
  <si>
    <t>127550, Москва, Тимирязевская, 49</t>
  </si>
  <si>
    <t>понедельник-пятница: 9:00-17:00; суббота: 9:00-14:00; воскресенье: выходной</t>
  </si>
  <si>
    <t>8 (800) 222-04-02</t>
  </si>
  <si>
    <t>priem@rgau-msha.ru</t>
  </si>
  <si>
    <t>Российский государственный геологоразведочный университет имени Серго Орджоникидзе</t>
  </si>
  <si>
    <t>1027739347723</t>
  </si>
  <si>
    <t>117997, Москва, Миклухо-Маклая, 23</t>
  </si>
  <si>
    <t>8(495)255-40-20</t>
  </si>
  <si>
    <t>priem@mgri.ru</t>
  </si>
  <si>
    <t>Российский государственный гидрометеорологический университет</t>
  </si>
  <si>
    <t>1027804199653</t>
  </si>
  <si>
    <t>192007, Санкт-Петербург, Воронежская, 79</t>
  </si>
  <si>
    <t>понедельник-четверг: 9:00-19:00 пятница: 9:00-18:00 суббота: 9:00-17:00 воскресенье: выходной</t>
  </si>
  <si>
    <t>+7(812)372-5091</t>
  </si>
  <si>
    <t>i.gavrilova@rshu.ru</t>
  </si>
  <si>
    <t>Российский государственный гуманитарный университет</t>
  </si>
  <si>
    <t>1037700067118</t>
  </si>
  <si>
    <t>priem@rggu.ru</t>
  </si>
  <si>
    <t>125047, Москва, Миусская площадь, 6</t>
  </si>
  <si>
    <t>понедельник - пятница с 10.00 до 17.00, суббота, воскресенье: выходной</t>
  </si>
  <si>
    <t>+7 495 250 71 71</t>
  </si>
  <si>
    <t>Российский государственный институт сценических искусств</t>
  </si>
  <si>
    <t>1037843065303</t>
  </si>
  <si>
    <t>pk@rgisi.ru</t>
  </si>
  <si>
    <t>191028, Санкт-Петербург, Моховая, 34</t>
  </si>
  <si>
    <t>понедельник-пятница: 11:00-17.00 суббота и воскресенье: выходной</t>
  </si>
  <si>
    <t>(812)493-98-15</t>
  </si>
  <si>
    <t>Российский государственный педагогический университет им. А. И. Герцена</t>
  </si>
  <si>
    <t>1027809233429</t>
  </si>
  <si>
    <t>pk@rgpu.spb.ru</t>
  </si>
  <si>
    <t>191186, Санкт-Петербург, набережная реки Мойки, 48</t>
  </si>
  <si>
    <t>понедельник-пятница: 9:00-17:45 суббота и воскресенье выходной. В период приемной кампании: понедельник-пятница: 9:00-17:45 суббота: 10:00-14:00 воскресенье выходной</t>
  </si>
  <si>
    <t>+7 (812) 643-77-66</t>
  </si>
  <si>
    <t>Российский государственный социальный университет</t>
  </si>
  <si>
    <t>1027700134879</t>
  </si>
  <si>
    <t>129226, Москва, Вильгельма Пика, 4</t>
  </si>
  <si>
    <t>понедельник-четверг с 10.00 до 18.00 пятница с 10.00 до 16.45 суббота с 10.00 до 13.00 воскресенье: выходной</t>
  </si>
  <si>
    <t>8 495 255 67 67</t>
  </si>
  <si>
    <t>pk@rgsu.net</t>
  </si>
  <si>
    <t>Российский государственный университет им. А.Н. Косыгина (Технологии. Дизайн. Искусство)</t>
  </si>
  <si>
    <t>1027739119561</t>
  </si>
  <si>
    <t>115035, Москва, Садовническая, 33</t>
  </si>
  <si>
    <t>понедельник-пятница: 10:00-18:00 суббота: 10:00-14:00 и воскресенье: выходной</t>
  </si>
  <si>
    <t>8(495) 811-00-02</t>
  </si>
  <si>
    <t>pk@rguk.ru</t>
  </si>
  <si>
    <t>Российский государственный университет народного хозяйства имени В.И. Вернадского</t>
  </si>
  <si>
    <t>1035000701834</t>
  </si>
  <si>
    <t>143907, Балашиха, Шоссе Энтузиастов, 50</t>
  </si>
  <si>
    <t>понедельник-четверг: 9:00-18:00, пятница 9:00-16:45, суббота: 9:00-13:00</t>
  </si>
  <si>
    <t>+7(495)521-55-46</t>
  </si>
  <si>
    <t>priemkom@rgunh.ru</t>
  </si>
  <si>
    <t>Верховный Суд Российской Федерации</t>
  </si>
  <si>
    <t>Российский государственный университет правосудия имени В.М. Лебедева</t>
  </si>
  <si>
    <t>1037739536768</t>
  </si>
  <si>
    <t>мобильный</t>
  </si>
  <si>
    <t>117418, мобильный, Новочеремушкинская 69, 117418</t>
  </si>
  <si>
    <t>понедельник-четверг с 10:00 до 17:00, пятница с 10:00 до 16:00, суббота с 10:00 до 14:00</t>
  </si>
  <si>
    <t>8(495)332-53-33</t>
  </si>
  <si>
    <t>priem@rsuj.ru</t>
  </si>
  <si>
    <t>Российский государственный университет социальных технологий</t>
  </si>
  <si>
    <t>1027700089405</t>
  </si>
  <si>
    <t>107150, Москва, ул. Лосиноостровская, 49</t>
  </si>
  <si>
    <t>понедельник-четверг: 9:00-18:00 пятница: 9:00-17:00 суббота: 10:00-13:00 воскресенье: выходной</t>
  </si>
  <si>
    <t>+7 (499) 748-32-20;</t>
  </si>
  <si>
    <t>priem@rgust.ru</t>
  </si>
  <si>
    <t>Российский государственный университет туризма и сервиса</t>
  </si>
  <si>
    <t>1025004905254</t>
  </si>
  <si>
    <t>Черкизово</t>
  </si>
  <si>
    <t>141221, Черкизово, Главная, 99</t>
  </si>
  <si>
    <t>до 20.06: понедельник-четверг: 9:00-18:00 (перерыв с 13:00 до 13:45), пятница: 9:00-16:45 (перерыв с 13:00 до 13:45), суббота и воскресенье: выходной с 20.06 до 31.08: понедельник-пятница: 10:00-17:00 (без перерывов), суббота: 10:00-15:30 (без перерывов), воскресенье: выходной с 01.09: понедельник-четверг: 9:00-18:00 (перерыв с 13:00 до 13:45), пятница: 9:00-16:45 (перерыв с 13:00 до 13:45), суббота и воскресенье: выходной</t>
  </si>
  <si>
    <t>+7 (495) 940-83-58</t>
  </si>
  <si>
    <t>priem@rguts.ru</t>
  </si>
  <si>
    <t>Российский государственный художественно-промышленный университет им. С. Г. Строганова</t>
  </si>
  <si>
    <t>1027739486697</t>
  </si>
  <si>
    <t>125080, Москва, Волоколамское шоссе, 9</t>
  </si>
  <si>
    <t>понедельник-пятница: с 10:00-17:00; суббота-воскресенье: выходной</t>
  </si>
  <si>
    <t>+79853376299</t>
  </si>
  <si>
    <t>priemkom@mghpu.ru</t>
  </si>
  <si>
    <t>Российский институт истории искусств</t>
  </si>
  <si>
    <t>1027810230700</t>
  </si>
  <si>
    <t>aspirant_riii@artcenter.ru</t>
  </si>
  <si>
    <t>190000, Санкт-Петербург, Исаакиевская пл., 5</t>
  </si>
  <si>
    <t>Понедельник-четверг: 11.00-18.00, пятница: 11.00-17.00</t>
  </si>
  <si>
    <t>+7(991)046-75-60</t>
  </si>
  <si>
    <t>Российский институт стандартизации</t>
  </si>
  <si>
    <t>1217700342672</t>
  </si>
  <si>
    <t>117418, Москва, Нахимовский проспект, 31,</t>
  </si>
  <si>
    <t>8-800-101-92-72 (доб.6337)</t>
  </si>
  <si>
    <t>aspirantura@gostinfo.ru</t>
  </si>
  <si>
    <t>Российский институт театрального искусства - ГИТИС</t>
  </si>
  <si>
    <t>1027700379739</t>
  </si>
  <si>
    <t>125009, Москва, Малый Кисловский переулок, 6</t>
  </si>
  <si>
    <t>Понедельник-пятница, 10.00-18.00, суббота и воскресенье - выходной</t>
  </si>
  <si>
    <t>84951376935</t>
  </si>
  <si>
    <t>priem@gitis.net</t>
  </si>
  <si>
    <t>Российский исламский институт</t>
  </si>
  <si>
    <t>1021602858342</t>
  </si>
  <si>
    <t>priem-rii@mail.ru</t>
  </si>
  <si>
    <t>420049, Казань, Газовая, 19</t>
  </si>
  <si>
    <t>Понедельник -пятница: 9:00-18:00 (перерыв: 12:00-13:15) суббота и воскресенье: выходной</t>
  </si>
  <si>
    <t>+7(843)251-01-55</t>
  </si>
  <si>
    <t>Российский научно-исследовательский и проектно-технологический институт сорго и кукурузы</t>
  </si>
  <si>
    <t>1026402194543</t>
  </si>
  <si>
    <t>aspirantura@rossorgo.ru</t>
  </si>
  <si>
    <t>поселок Занальный</t>
  </si>
  <si>
    <t>410050, поселок Занальный, 1-й Институтский проезд, 4</t>
  </si>
  <si>
    <t>Понедельник-пятница: 9.00-17.00 суббота и воскресенье: выходной</t>
  </si>
  <si>
    <t>+78452794969</t>
  </si>
  <si>
    <t>Российский научно-исследовательский институт гематологии и трансфузиологии</t>
  </si>
  <si>
    <t>1037843051971</t>
  </si>
  <si>
    <t>zajiceva@niigt.ru</t>
  </si>
  <si>
    <t>191024, Санкт-Петербург, 2-ая Советская, 16</t>
  </si>
  <si>
    <t>8 (812) 309 79 81 доб. (306)</t>
  </si>
  <si>
    <t>Российский научно-исследовательский институт информации и технико-экономических исследований по инженерно-техническому обеспечению агропромышленного комплекса</t>
  </si>
  <si>
    <t>1025004908334</t>
  </si>
  <si>
    <t>Правдинский</t>
  </si>
  <si>
    <t>141261, Правдинский, Лесная, 60</t>
  </si>
  <si>
    <t>8-495-594-99-41</t>
  </si>
  <si>
    <t>aspirantura@rosinformagrotech.ru</t>
  </si>
  <si>
    <t>Российский научно-исследовательский институт культурного и природного наследия им. Д. С. Лихачёва</t>
  </si>
  <si>
    <t>1027739478007</t>
  </si>
  <si>
    <t>129366, Москва, Космонавтов, 2</t>
  </si>
  <si>
    <t>+79365033901</t>
  </si>
  <si>
    <t>aspirantura.in@mail.ru</t>
  </si>
  <si>
    <t>Российский научный центр рентгенорадиологии</t>
  </si>
  <si>
    <t>1037739664929</t>
  </si>
  <si>
    <t>117997, г. Москва, Профсоюзная ул., 86</t>
  </si>
  <si>
    <t>понедельник-пятница: 09:00-15:00, суббота и воскресенье: выходной</t>
  </si>
  <si>
    <t>+7 (495) 333-54-30</t>
  </si>
  <si>
    <t>dpo@rncrr.ru</t>
  </si>
  <si>
    <t>Российский научный центр хирургии имени академика Б.В. Петровского</t>
  </si>
  <si>
    <t>1027739267214</t>
  </si>
  <si>
    <t>119991, Москва, пер. Абрикосовский, 2</t>
  </si>
  <si>
    <t>+7 499-248-15-00</t>
  </si>
  <si>
    <t>abitur@med.ru</t>
  </si>
  <si>
    <t>Российский национальный исследовательский медицинский университет имени Н.И. Пирогова</t>
  </si>
  <si>
    <t>1027739054420</t>
  </si>
  <si>
    <t>117513, Москва, Островитянова, 1</t>
  </si>
  <si>
    <t>понедельник-пятница: 10:00-16:00 суббота: 10:00-14:00 воскресенье: выходной</t>
  </si>
  <si>
    <t>+7 (495) 434-31-74</t>
  </si>
  <si>
    <t>prk@rsmu.ru</t>
  </si>
  <si>
    <t>Российский новый университет</t>
  </si>
  <si>
    <t>1157700015846</t>
  </si>
  <si>
    <t>105005, Москва, Радио, 22</t>
  </si>
  <si>
    <t>понедельник-четверг: 9:00-18:00; пятница: 9:00-17:00; суббота: 9:00-15:00; воскресенье: выходной.</t>
  </si>
  <si>
    <t>+7 (495) 727-35-35</t>
  </si>
  <si>
    <t>priem@rosnou.ru</t>
  </si>
  <si>
    <t>Российский православный университет святого Иоанна Богослова</t>
  </si>
  <si>
    <t>1037700087919</t>
  </si>
  <si>
    <t>127473, Москва, Крапивенский переулок, 4</t>
  </si>
  <si>
    <t>Понедельник - пятница: 11:00 - 18:00 суббота и воскресенье: выходной</t>
  </si>
  <si>
    <t>+7 495 431 03 03</t>
  </si>
  <si>
    <t>abitur@rpusib.ru</t>
  </si>
  <si>
    <t>РОССИЙСКИЙ УНИВЕРСИТЕТ АДВОКАТУРЫ И НОТАРИАТА ИМЕНИ Г.Б. МИРЗОЕВА</t>
  </si>
  <si>
    <t>1237700848582</t>
  </si>
  <si>
    <t>pkraan@yandex.ru</t>
  </si>
  <si>
    <t>105120, Москва, Малый Полуярославский переулок, 3/5</t>
  </si>
  <si>
    <t>понедельник-четверг: 10:00-18:00 пятница: 10:00-17:00? суббота и воскресенье: выходной</t>
  </si>
  <si>
    <t>+7(495)917-24-78</t>
  </si>
  <si>
    <t>Российский университет дружбы народов имени Патриса Лумумбы</t>
  </si>
  <si>
    <t>1027739189323</t>
  </si>
  <si>
    <t>117198, Москва, ул. Миклухо-Маклая, 6</t>
  </si>
  <si>
    <t>Понедельник – пятница 9:00-18:00 Суббота 10:00-15:00</t>
  </si>
  <si>
    <t>+7(495)787-38-27</t>
  </si>
  <si>
    <t>priem@rudn.ru dulatov-it@rudn.ru</t>
  </si>
  <si>
    <t>Российский университет кооперации</t>
  </si>
  <si>
    <t>1065029009429</t>
  </si>
  <si>
    <t>141014, Мытищи, Веры Волошиной, 12/30</t>
  </si>
  <si>
    <t>понедельник-пятница: 09:00-18:00 суббота: 10:00-15:00 воскресенье: выходной</t>
  </si>
  <si>
    <t>+7-495-785-76-78</t>
  </si>
  <si>
    <t>priem@ruc.su</t>
  </si>
  <si>
    <t>Российский университет медицины</t>
  </si>
  <si>
    <t>1027739808898</t>
  </si>
  <si>
    <t>127473, Москва, Долгоруковская, 4</t>
  </si>
  <si>
    <t>+7 (495) 713-90-96</t>
  </si>
  <si>
    <t>priem_kom@rosunimed.ru</t>
  </si>
  <si>
    <t>Российский университет спорта «ГЦОЛИФК»</t>
  </si>
  <si>
    <t>1027739179027</t>
  </si>
  <si>
    <t>105122, Москва, Сиреневый бульвар, 4</t>
  </si>
  <si>
    <t>8-495-961-31-11</t>
  </si>
  <si>
    <t>pk@gtsolifk.ru</t>
  </si>
  <si>
    <t>Российский университет традиционных художественных промыслов</t>
  </si>
  <si>
    <t>1037867007826</t>
  </si>
  <si>
    <t>vshni_priem@mail.ru</t>
  </si>
  <si>
    <t>191186, Санкт-Петербург, Набережная канала Грибоедова, 2 литера А</t>
  </si>
  <si>
    <t>+78127104913</t>
  </si>
  <si>
    <t>Министерство транспорта Российской Федерации (Минтранс России)</t>
  </si>
  <si>
    <t>Российский университет транспорта</t>
  </si>
  <si>
    <t>1027739733922</t>
  </si>
  <si>
    <t>127994, Москва, Образцова, 9</t>
  </si>
  <si>
    <t>понедельник-пятница: 9:30-16:30 суббота: 9:30-14:30 (с 20 июня по 1 августа)</t>
  </si>
  <si>
    <t>+7 495 260-23-32</t>
  </si>
  <si>
    <t>pk@rut-miit.ru</t>
  </si>
  <si>
    <t>Российский химико-технологический университет имени Д. И. Менделеева</t>
  </si>
  <si>
    <t>1027739123224</t>
  </si>
  <si>
    <t>125047, Москва, Миусская пл., 9</t>
  </si>
  <si>
    <t>понедельник-четверг: 10:00-18:00 пятница: 10:00-17:00 суббота: 10:00-15:00 и воскресенье: выходной</t>
  </si>
  <si>
    <t>+7(495) 978-59-60</t>
  </si>
  <si>
    <t>priem@muctr.ru</t>
  </si>
  <si>
    <t>Российский центр неврологии и нейронаук</t>
  </si>
  <si>
    <t>1027739766812</t>
  </si>
  <si>
    <t>125367, Москва, Волоколамское шоссе, 80</t>
  </si>
  <si>
    <t>Понедельник-пятница: 10.00-17.00. Суббота и воскресенье: выходной</t>
  </si>
  <si>
    <t>+7(916)753-92-48</t>
  </si>
  <si>
    <t>priem@neurology.ru</t>
  </si>
  <si>
    <t>Российский центр судебно-медицинской экспертизы</t>
  </si>
  <si>
    <t>1037739753732</t>
  </si>
  <si>
    <t>125284, Москва, Поликарпова, 12/13</t>
  </si>
  <si>
    <t>понедельник-четверг: 9:00-17:30, пятница: 9:00-16:30 суббота и воскресенье: выходной</t>
  </si>
  <si>
    <t>+7(495) 945-21-69</t>
  </si>
  <si>
    <t>mail@rc-sme.ru</t>
  </si>
  <si>
    <t>Российский экономический университет им. Г.В. Плеханова</t>
  </si>
  <si>
    <t>1037700012008</t>
  </si>
  <si>
    <t>115054, Москва, Стремянный переулок, 36</t>
  </si>
  <si>
    <t>понедельник-пятница: 9:30-17:00 суббота: 10:00-14:00 воскресенье: выходной</t>
  </si>
  <si>
    <t>+7-495-800-12-00 (добавочный 2311)</t>
  </si>
  <si>
    <t>abiturient@rea.ru</t>
  </si>
  <si>
    <t>Ростовская государственная консерватория им. С. В. Рахманинова</t>
  </si>
  <si>
    <t>1026103286240</t>
  </si>
  <si>
    <t>344002, Ростов-на-Дону, Буденновский, 23</t>
  </si>
  <si>
    <t>8 (863) 262-33-42</t>
  </si>
  <si>
    <t>priem2025rgk@mail.ru</t>
  </si>
  <si>
    <t>Ростовский государственный медицинский университет Министерства здравоохранения Российской Федерации</t>
  </si>
  <si>
    <t>1026103165736</t>
  </si>
  <si>
    <t>344022, Ростов-на-Дону, переулок Нахичеванский, 29</t>
  </si>
  <si>
    <t>Понедельник -пятница с 9.00 до 16.30; суббота и воскресенье - выходные дни</t>
  </si>
  <si>
    <t>8 (863) 201-43-96; 8 (863) 250-41-16</t>
  </si>
  <si>
    <t>pk@rostgmu.ru</t>
  </si>
  <si>
    <t>Ростовский государственный университет путей сообщения</t>
  </si>
  <si>
    <t>1026103709499</t>
  </si>
  <si>
    <t>prkom@rgups.ru</t>
  </si>
  <si>
    <t>городской округ город Ростов-на-Дону, город Ростов-на-Дону</t>
  </si>
  <si>
    <t>344038, городской округ город Ростов-на-Дону, город Ростов-на-Дону, пл. Ростовского Стрелкового Полка Народного Ополчения, 2</t>
  </si>
  <si>
    <t>понедельник-пятница: 9:00-17:00 суббота : 9:00-13:00; воскресенье: выходной; Перерыв: 13:00-14:00</t>
  </si>
  <si>
    <t>8 (800) 707-19-29</t>
  </si>
  <si>
    <t>Ростовский государственный экономический университет (РИНХ)</t>
  </si>
  <si>
    <t>1026103165538</t>
  </si>
  <si>
    <t>344002, Ростов-на-Дону, Большая Садовая, 69</t>
  </si>
  <si>
    <t>Понедельник-пятница : 9:00-17:00 Суббота: 9:00-13:00</t>
  </si>
  <si>
    <t>8(863)237-02-60</t>
  </si>
  <si>
    <t>pk@rsue.ru</t>
  </si>
  <si>
    <t>Ростовский институт защиты предпринимателя</t>
  </si>
  <si>
    <t>1026103710764</t>
  </si>
  <si>
    <t>344029, Ростов-на-Дону, Сержантова, 2/104</t>
  </si>
  <si>
    <t>понедельник-пятница: 9:00-17:30 суббота: 9:00-16:30 воскресенье: выходной</t>
  </si>
  <si>
    <t>+7 903 401 80 55</t>
  </si>
  <si>
    <t>ob.otd@rizp.ru</t>
  </si>
  <si>
    <t>Русская христианская гуманитарная академия им. Ф.М. Достоевского</t>
  </si>
  <si>
    <t>1227800162028</t>
  </si>
  <si>
    <t>191011, Санкт-Петербург, набережная реки Фонтанки, 15</t>
  </si>
  <si>
    <t>понедельник - пятница: 10.30 - 17.30, суббота и воскресенье -выходной.</t>
  </si>
  <si>
    <t>+78123341441</t>
  </si>
  <si>
    <t>abiturient@rhga.ru</t>
  </si>
  <si>
    <t>Русский университет метатехнологий</t>
  </si>
  <si>
    <t>1091200000495</t>
  </si>
  <si>
    <t>понедельник-пятница: 9:00-18:00 перерыв: 12:00-13:00 суббота и воскресенье: выходной</t>
  </si>
  <si>
    <t>+7 (8362) 60 00 10, +7 939 720 00 10</t>
  </si>
  <si>
    <t>institute@ispring.ru</t>
  </si>
  <si>
    <t>Рыбинский государственный авиационный технический университет имени П. А. Соловьева</t>
  </si>
  <si>
    <t>1027601126057</t>
  </si>
  <si>
    <t>Рыбинск</t>
  </si>
  <si>
    <t>152934, Рыбинск, Пушкина, 53</t>
  </si>
  <si>
    <t>С 1 сентября до 19 июня: понедельник-пятница: 9:00-12:45, 14:00-17:45, суббота и воскресенье - выходной. С 20 июня до 29 августа понедельник-пятница: 9:00-12:45, 14:00-17:45, суббота: 9:00-12:45, воскресенье - выходной.</t>
  </si>
  <si>
    <t>8(4855)23-97-60</t>
  </si>
  <si>
    <t>pk@rsatu.ru</t>
  </si>
  <si>
    <t>Рязанский государственный агротехнологический университет имени П.А. Костычева</t>
  </si>
  <si>
    <t>1026201074998</t>
  </si>
  <si>
    <t>390044, Рязань, Костычева, 1</t>
  </si>
  <si>
    <t>понедельник-суббота : 9:00-18:00 воскресенье: выходной</t>
  </si>
  <si>
    <t>8 (4912) 35-10-56</t>
  </si>
  <si>
    <t>priem@rgatu.ru</t>
  </si>
  <si>
    <t>Рязанский государственный медицинский университет имени академика И.П. Павлова Министерства здравоохранения Российской Федерации</t>
  </si>
  <si>
    <t>1036212013408</t>
  </si>
  <si>
    <t>390026, Рязань, Высоковольтная, 9</t>
  </si>
  <si>
    <t>Понедельник - пятница: с 9.00 до 17.00 Суббота: с 9.00 до 15.00 Воскресенье - выходной</t>
  </si>
  <si>
    <t>+7(4912) 97-18-48</t>
  </si>
  <si>
    <t>priem@rzgmu.ru</t>
  </si>
  <si>
    <t>Рязанский государственный радиотехнический университет имени В.Ф. Уткина</t>
  </si>
  <si>
    <t>1026201104478</t>
  </si>
  <si>
    <t>390005, Рязань, ул. Гагарина, 59/1</t>
  </si>
  <si>
    <t>09:00-17:00</t>
  </si>
  <si>
    <t>8(4912)72-04-24</t>
  </si>
  <si>
    <t>pk@rsreu.ru</t>
  </si>
  <si>
    <t>Рязанский государственный университет имени С.А. Есенина</t>
  </si>
  <si>
    <t>1026201268301</t>
  </si>
  <si>
    <t>390000, Рязань, Свободы, 46</t>
  </si>
  <si>
    <t>8 (4912) 97-15-10</t>
  </si>
  <si>
    <t>priem@rsu-rzn.ru</t>
  </si>
  <si>
    <t>Самарский государственный аграрный университет</t>
  </si>
  <si>
    <t>1026303273061</t>
  </si>
  <si>
    <t>Усть-Кинельский</t>
  </si>
  <si>
    <t>446442, Усть-Кинельский, Учебная, 2</t>
  </si>
  <si>
    <t>Понедельник-пятница: 8:00-16:00, суббота 8:00-12:00, воскресенье: выходной</t>
  </si>
  <si>
    <t>89397540486</t>
  </si>
  <si>
    <t>pk_ssaa@mail.ru</t>
  </si>
  <si>
    <t>Самарский государственный институт культуры</t>
  </si>
  <si>
    <t>1026300966361</t>
  </si>
  <si>
    <t>443010, Самара, Фрунзе, 167</t>
  </si>
  <si>
    <t>+78463332222</t>
  </si>
  <si>
    <t>priem@samgik.ru</t>
  </si>
  <si>
    <t>Самарский государственный медицинский университет Министерства здравоохранения Российской Федерации</t>
  </si>
  <si>
    <t>1026301426348</t>
  </si>
  <si>
    <t>443099, Самара, Чапаевская 89, 89</t>
  </si>
  <si>
    <t>Понедельник-четверг: 9:00-18:00, пятница: 9:00-17:00, суббота и воскресенье: выходной</t>
  </si>
  <si>
    <t>+7 (846) 374-00-11</t>
  </si>
  <si>
    <t>priem@samsmu.ru</t>
  </si>
  <si>
    <t>Самарский государственный социально-педагогический университет</t>
  </si>
  <si>
    <t>1036300661242</t>
  </si>
  <si>
    <t>443099, Самара, ул. М. Горького, 65/67</t>
  </si>
  <si>
    <t>8 (846) 207 88-77 Понедельник - Пятница: 09:00 - 16:00 Суббота: 09:00 - 13:00 Воскресенье: выходной</t>
  </si>
  <si>
    <t>8 (846) 207 88-77</t>
  </si>
  <si>
    <t>priem@sgspu.ru</t>
  </si>
  <si>
    <t>Самарский государственный технический университет</t>
  </si>
  <si>
    <t>1026301167683</t>
  </si>
  <si>
    <t>443100, Самара, Молодогвардейская, 244</t>
  </si>
  <si>
    <t>Будни с 9 до 17 часов Суббота с 10 до 14 часов Воскресенье выходной</t>
  </si>
  <si>
    <t>8 (800) 302 17 71</t>
  </si>
  <si>
    <t>priem@samgtu.ru</t>
  </si>
  <si>
    <t>Самарский государственный экономический университет</t>
  </si>
  <si>
    <t>1026301505120</t>
  </si>
  <si>
    <t>443090, Самара, Советской Армии, 141</t>
  </si>
  <si>
    <t>понедельник-четверг: 9:00-18:00, пятница-суббота: 9:00-16:00, воскресенье: выходной</t>
  </si>
  <si>
    <t>8 (846) 215-31-63</t>
  </si>
  <si>
    <t>priem@sseu.ru</t>
  </si>
  <si>
    <t>Самарский национальный исследовательский университет имени академика С.П. Королева</t>
  </si>
  <si>
    <t>1026301168310</t>
  </si>
  <si>
    <t>443086, Самара, Московское шоссе, 34</t>
  </si>
  <si>
    <t>понедельник-пятница: 10:00-16:00 суббота: 10:00-14:00 воскресенье: выходной, время местное</t>
  </si>
  <si>
    <t>8 (800) 550-34-35</t>
  </si>
  <si>
    <t>priem@ssau.ru</t>
  </si>
  <si>
    <t>Самарский университет государственного управления «Международный институт рынка»</t>
  </si>
  <si>
    <t>1176313046249</t>
  </si>
  <si>
    <t>443030, Самара, Г.С. Аксакова, 21</t>
  </si>
  <si>
    <t>понедельник-четверг: 9:00-18:00 пятница: 9:00-16:30 суббота и воскресенье: выходной</t>
  </si>
  <si>
    <t>+78462664000</t>
  </si>
  <si>
    <t>okstud@imi-samara.ru priem@imi-samara.ru</t>
  </si>
  <si>
    <t>Санкт-Петербургская академия художеств имени Ильи Репина</t>
  </si>
  <si>
    <t>1037800021225</t>
  </si>
  <si>
    <t>199034, Санкт-Петербург, Университетская набережная, 17</t>
  </si>
  <si>
    <t>понедельник-пятница: 11:00-15:00 суббота и воскресенье: выходной</t>
  </si>
  <si>
    <t>8-921-859-47-04</t>
  </si>
  <si>
    <t>repinpriem@gmail.com</t>
  </si>
  <si>
    <t>Санкт-Петербургская государственная консерватория имени Н.А.Римского-Корсакова</t>
  </si>
  <si>
    <t>1027810336762</t>
  </si>
  <si>
    <t>190068, Санкт-Петербург, Глинки, 2</t>
  </si>
  <si>
    <t>понедельник-четверг 10:00-18:00 пятница: 10:00-17:00 суббота и воскресенье: выходной</t>
  </si>
  <si>
    <t>+7 812 644 99 38</t>
  </si>
  <si>
    <t>abiturient@conservatory.ru</t>
  </si>
  <si>
    <t>Санкт-Петербургская государственная художественно-промышленная академия имени А.Л. Штиглица</t>
  </si>
  <si>
    <t>1027809216600</t>
  </si>
  <si>
    <t>191028, Санкт-Петербург, Соляной переулок, 13-15</t>
  </si>
  <si>
    <t>Понедельник-Пятница: 11:00-16:00 Суббота и Воскресенье: выходной</t>
  </si>
  <si>
    <t>+7(952)376-47-13</t>
  </si>
  <si>
    <t>priem@ghpa.ru</t>
  </si>
  <si>
    <t>Санкт-Петербургская юридическая академия</t>
  </si>
  <si>
    <t>1167800053948</t>
  </si>
  <si>
    <t>jurac.spb@mail.ru</t>
  </si>
  <si>
    <t>192012, Санкт-Петербург, пр. Обуховской Обороны, 114</t>
  </si>
  <si>
    <t>8-812-677-00-07; 8-921-951-34-33</t>
  </si>
  <si>
    <t>Санкт-Петербургский горный университет императрицы Екатерины II</t>
  </si>
  <si>
    <t>1027800507591</t>
  </si>
  <si>
    <t>199106, Санкт-Петербург, 21-я линия ВО, 2</t>
  </si>
  <si>
    <t>понедельник-пятница с 09.00 до 18.00 суббота-воскресенье с 10.00 до 16.00</t>
  </si>
  <si>
    <t>+7 (812) 328-82-01</t>
  </si>
  <si>
    <t>abitur@spmi.ru</t>
  </si>
  <si>
    <t>Санкт-Петербургский государственный аграрный университет</t>
  </si>
  <si>
    <t>1027808999239</t>
  </si>
  <si>
    <t>pk_spbgau@mail.ru</t>
  </si>
  <si>
    <t>196601, Пушкин, Петербургское шоссе, 2</t>
  </si>
  <si>
    <t>понедельник - пятница: 9:30-17:00 суббота и воскресенье: выходной</t>
  </si>
  <si>
    <t>8 (812) 612-12-67</t>
  </si>
  <si>
    <t>Санкт-Петербургский государственный архитектурно-строительный университет</t>
  </si>
  <si>
    <t>1027810225310</t>
  </si>
  <si>
    <t>190005, Санкт-Петербург, 2-я Красноармейская, 4</t>
  </si>
  <si>
    <t>+7 (812) 316-20-26</t>
  </si>
  <si>
    <t>prc@spbgasu.ru</t>
  </si>
  <si>
    <t>Санкт-Петербургский государственный институт кино и телевидения</t>
  </si>
  <si>
    <t>1027807985094</t>
  </si>
  <si>
    <t>192102, Санкт-Петербург, Бухарестская, 22</t>
  </si>
  <si>
    <t>понедельник-пятница: 10:00 - 17:00, суббота и воскресенье: выходной</t>
  </si>
  <si>
    <t>(812) 315 - 74 - 83</t>
  </si>
  <si>
    <t>priem@gikit.ru</t>
  </si>
  <si>
    <t>Санкт-Петербургский государственный институт культуры</t>
  </si>
  <si>
    <t>1027809226610</t>
  </si>
  <si>
    <t>8 (812) 318-97-10</t>
  </si>
  <si>
    <t>pk@spbgik.ru</t>
  </si>
  <si>
    <t>191186, Санкт-Петербург, Дворцовая набережная, 2</t>
  </si>
  <si>
    <t>понедельник-пятница: 10:00-17:00 суббота: 10:00-16:00 воскресенье: выходной</t>
  </si>
  <si>
    <t>Санкт-Петербургский государственный институт психологии и социальной работы</t>
  </si>
  <si>
    <t>1027800518492</t>
  </si>
  <si>
    <t>priem@gipsr.ru</t>
  </si>
  <si>
    <t>199178, Санкт-Петербург, 12 линия В.О., 13</t>
  </si>
  <si>
    <t>Понедельник-четверг: 10:00-18:00; пятница: 10:00-17:30; суббота и воскресенье: выходной.</t>
  </si>
  <si>
    <t>8 (812) 323-07-70</t>
  </si>
  <si>
    <t>Санкт-Петербургский государственный лесотехнический университет имени С.М. Кирова</t>
  </si>
  <si>
    <t>1027801536058</t>
  </si>
  <si>
    <t>194021, Санкт-Петербург, Институтский пер., 5</t>
  </si>
  <si>
    <t>понедельник-пятница: 10:00-18:00, суббота: 10:00-17:00, воскресенье: выходной</t>
  </si>
  <si>
    <t>+78122179297</t>
  </si>
  <si>
    <t>pricom@spbftu.ru</t>
  </si>
  <si>
    <t>Санкт-Петербургский государственный морской технический университет</t>
  </si>
  <si>
    <t>1027810221548</t>
  </si>
  <si>
    <t>priem@smtu.ru</t>
  </si>
  <si>
    <t>190121, Санкт-Петербург, ул. Лоцманская, 3</t>
  </si>
  <si>
    <t>+7 (812) 757-16-77</t>
  </si>
  <si>
    <t>Санкт-Петербургский государственный педиатрический медицинский университет</t>
  </si>
  <si>
    <t>1037804002389</t>
  </si>
  <si>
    <t>194100, Санкт-Петербург, Литовская ул., 2</t>
  </si>
  <si>
    <t>+7 (812) 416-54-44</t>
  </si>
  <si>
    <t>priem@gpmu.org</t>
  </si>
  <si>
    <t>Санкт-Петербургский государственный технологический институт (технический университет)</t>
  </si>
  <si>
    <t>1027810258761</t>
  </si>
  <si>
    <t>190013, Санкт-Петербург, Московский проспект, 24-26/49, литера А</t>
  </si>
  <si>
    <t>понедельник-пятница 10:00 - 17:30 суббота: 10:00 - 14:00 воскресенье: выходной</t>
  </si>
  <si>
    <t>+7(812)316-13-12</t>
  </si>
  <si>
    <t>abitur@spbti.ru</t>
  </si>
  <si>
    <t>Санкт-Петербургский государственный университет</t>
  </si>
  <si>
    <t>1037800006089</t>
  </si>
  <si>
    <t>г Санкт-Петербург</t>
  </si>
  <si>
    <t>199034, г Санкт-Петербург, Университетская набережная, 7/9</t>
  </si>
  <si>
    <t>понедельник-пятница: 10:00-18:00, суббота: 10:00-14:00, воскресенье: выходной</t>
  </si>
  <si>
    <t>+7 (812) 3636636</t>
  </si>
  <si>
    <t>epgu@spbu.ru</t>
  </si>
  <si>
    <t>Санкт-Петербургский государственный университет аэрокосмического приборостроения</t>
  </si>
  <si>
    <t>1027810232680</t>
  </si>
  <si>
    <t>priem@guap.ru</t>
  </si>
  <si>
    <t>190000, Санкт-Петербург, Большая Морская, 67, литера А</t>
  </si>
  <si>
    <t>Понедельник-пятница: 10:00-18:00,суббота: 10:00-17:00, воскресенье: 10:00-15:00</t>
  </si>
  <si>
    <t>+7 (812) 312-21-07</t>
  </si>
  <si>
    <t>Санкт-Петербургский государственный университет ветеринарной медицины</t>
  </si>
  <si>
    <t>1027804902685</t>
  </si>
  <si>
    <t>8 812 387-51-44</t>
  </si>
  <si>
    <t>priem@spbguvm.ru</t>
  </si>
  <si>
    <t>196084, Санкт-Петербург, Черниговская, 5</t>
  </si>
  <si>
    <t>понедельник – пятница. с 9:30 до 17:00 суббота и воскресенье: выходной</t>
  </si>
  <si>
    <t>Санкт-Петербургский государственный университет гражданской авиации имени Главного маршала авиации А.А. Новикова</t>
  </si>
  <si>
    <t>1037821044150</t>
  </si>
  <si>
    <t>196210, Санкт-Петербург, Пилотов, 38</t>
  </si>
  <si>
    <t>понедельник-пятница: 9:30-17:00, суббота и воскресенье: выходной</t>
  </si>
  <si>
    <t>(812) 678-98-00</t>
  </si>
  <si>
    <t>admission@spbguga.ru</t>
  </si>
  <si>
    <t>Санкт-Петербургский государственный университет промышленных технологий и дизайна</t>
  </si>
  <si>
    <t>1027809192102</t>
  </si>
  <si>
    <t>191186, Санкт-Петербург, ул. Большая Морская, 18</t>
  </si>
  <si>
    <t>понедельник-суббота: 10:00-18:00, воскресенье выходной день</t>
  </si>
  <si>
    <t>+7 (812) 317-14-14</t>
  </si>
  <si>
    <t>priemcom@sutd.ru</t>
  </si>
  <si>
    <t>Санкт-Петербургский государственный университет телекоммуникаций им. проф. М.А. Бонч-Бруевича</t>
  </si>
  <si>
    <t>1027809197635</t>
  </si>
  <si>
    <t>191186, Санкт-Петербург, набережная реки Мойки,, 61</t>
  </si>
  <si>
    <t>понедельник-пятница: 11:00-17:00, суббота: 11:00-15:00, воскресенье: выходной</t>
  </si>
  <si>
    <t>+7 (812)305-12-18</t>
  </si>
  <si>
    <t>pk@sut.ru</t>
  </si>
  <si>
    <t>Санкт-Петербургский государственный химико-фармацевтический университет Министерства здравоохранения Российской Федерации</t>
  </si>
  <si>
    <t>1037828029007</t>
  </si>
  <si>
    <t>197022, Санкт-Петербург, Профессора Попова, 14</t>
  </si>
  <si>
    <t>понедельник-пятница: 10:00-17:00 суббота: 10:00-15:00 воскресенье: выходной</t>
  </si>
  <si>
    <t>+7 812 499-39-19</t>
  </si>
  <si>
    <t>priem@spcpu.ru</t>
  </si>
  <si>
    <t>Санкт-Петербургский государственный экономический университет</t>
  </si>
  <si>
    <t>1129847034570</t>
  </si>
  <si>
    <t>191023, Санкт-Петербург, наб. канала Грибоедова, 30-32, лит. А</t>
  </si>
  <si>
    <t>Пн-Пт: с 10:00 до 17:00 Сб: с 10:00 до 13:00</t>
  </si>
  <si>
    <t>+7 (812) 458-97-58</t>
  </si>
  <si>
    <t>abitura@unecon.ru</t>
  </si>
  <si>
    <t>Санкт-Петербургский государственный электротехнический университет «ЛЭТИ» им. В.И. Ульянова (Ленина)</t>
  </si>
  <si>
    <t>1027806875381</t>
  </si>
  <si>
    <t>197376, Санкт-Петербург, ул. Профессора Попова, 5, лит. Ф</t>
  </si>
  <si>
    <t>понедельник-пятница: 10:00-17:00, суббота и воскресенье: 10:00-15:00</t>
  </si>
  <si>
    <t>+78126551382</t>
  </si>
  <si>
    <t>prcom@etu.ru</t>
  </si>
  <si>
    <t>Санкт-Петербургский Гуманитарный университет профсоюзов</t>
  </si>
  <si>
    <t>1027808003728</t>
  </si>
  <si>
    <t>192238, Санкт-Петербург, ул. Фучика, 15</t>
  </si>
  <si>
    <t>8(812) 327-27-28</t>
  </si>
  <si>
    <t>pricom@gup.ru</t>
  </si>
  <si>
    <t>Санкт-Петербургский институт гостеприимства</t>
  </si>
  <si>
    <t>1037851004641</t>
  </si>
  <si>
    <t>194156, Санкт-Петербург, Энгельса, 42</t>
  </si>
  <si>
    <t>Понедельник-четверг: 9:00-17:30 Пятница: 9:00-17:00 Суббота и воскресенье-выходной</t>
  </si>
  <si>
    <t>8(921) 913-63-55; 331-99-60</t>
  </si>
  <si>
    <t>spid@spig.spb.ru; newspig@mail.ru</t>
  </si>
  <si>
    <t>Санкт-Петербургский институт истории Российской академии наук</t>
  </si>
  <si>
    <t>1027806868176</t>
  </si>
  <si>
    <t>aspirantura@spbiiran.ru</t>
  </si>
  <si>
    <t>197110, Санкт-Петербург, Петрозаводская, 7</t>
  </si>
  <si>
    <t>вторник 12.00-17.00, четверг 12.00-17.00</t>
  </si>
  <si>
    <t>+7(812) 235-41-98</t>
  </si>
  <si>
    <t>Санкт-Петербургский институт стоматологии последипломного образования</t>
  </si>
  <si>
    <t>1027809240359</t>
  </si>
  <si>
    <t>190000, Санкт-Петербург, Невский, 82</t>
  </si>
  <si>
    <t>понедельник-пятница: 10.00-13.00, 13.30-16.00 суббота и воскресенье: выходной</t>
  </si>
  <si>
    <t>(812) 708-99-50</t>
  </si>
  <si>
    <t>priem@instom.ru</t>
  </si>
  <si>
    <t>Санкт-Петербургский институт экономики и управления</t>
  </si>
  <si>
    <t>1027802520602</t>
  </si>
  <si>
    <t>195197, Санкт-Петербург, Крапивный переулок, 5</t>
  </si>
  <si>
    <t>Понедельник-четверг: 10:00-17:30; пятница: 10:00-16:30; суббота и воскресенье: выходной</t>
  </si>
  <si>
    <t>8-812-309-99-06 8-812-309-99-07</t>
  </si>
  <si>
    <t>spbiem@yandex.ru</t>
  </si>
  <si>
    <t>Санкт-Петербургский медико-социальный институт</t>
  </si>
  <si>
    <t>1047855032631</t>
  </si>
  <si>
    <t>195271, Санкт-Петербург, Кондратьевский проспект, 72</t>
  </si>
  <si>
    <t>Понедельник-пятница: 10:00-18:00 суббота: 10:00-14:00</t>
  </si>
  <si>
    <t>8(800)550-25-25</t>
  </si>
  <si>
    <t>abiturient@medinstitut.ru</t>
  </si>
  <si>
    <t>Санкт-Петербургский научно-исследовательский институт радиационной гигиены имени профессора П.В. Рамзаева</t>
  </si>
  <si>
    <t>1037828042229</t>
  </si>
  <si>
    <t>sousova@yandex.ru</t>
  </si>
  <si>
    <t>197101, Санкт-Петербург, Мира, 8</t>
  </si>
  <si>
    <t>+7(812) 232-03-14</t>
  </si>
  <si>
    <t>+7(981) 854-83-51</t>
  </si>
  <si>
    <t>Санкт-Петербургский научно-исследовательский институт скорой помощи им. И.И. Джанелидзе</t>
  </si>
  <si>
    <t>1037835021135</t>
  </si>
  <si>
    <t>192242, Санкт-Петербург, Будапештская, 3</t>
  </si>
  <si>
    <t>+7(812)3844698</t>
  </si>
  <si>
    <t>education@emergency.spb.ru</t>
  </si>
  <si>
    <t>Санкт-Петербургский научно-исследовательский институт уха, горла, носа и речи</t>
  </si>
  <si>
    <t>1027810338490</t>
  </si>
  <si>
    <t>190013, -, Бронницкая, 9</t>
  </si>
  <si>
    <t>8(812)292-75-29</t>
  </si>
  <si>
    <t>umo@niilor.ru</t>
  </si>
  <si>
    <t>Санкт-Петербургский научно-исследовательский институт физической культуры</t>
  </si>
  <si>
    <t>1027806893751</t>
  </si>
  <si>
    <t>(812) 600-41-16</t>
  </si>
  <si>
    <t>aspirantura@spbniifk.ru</t>
  </si>
  <si>
    <t>190000, Санкт-Петербург, Чехова, 6</t>
  </si>
  <si>
    <t>понедельник-четверг: 9:30-18:00 пятница: 9:30-17:00 суббота и воскресенье: выходной</t>
  </si>
  <si>
    <t>Санкт-Петербургский научно-исследовательский институт эпидемиологии и микробиологии им. Пастера</t>
  </si>
  <si>
    <t>1037828006314</t>
  </si>
  <si>
    <t>afinogenova@pasteurorg.ru</t>
  </si>
  <si>
    <t>197101, Санкт-Петербург, Мира, 14</t>
  </si>
  <si>
    <t>понедельник-пятница: 9:00-17:00 перерыв: 12:30-13:00 суббота и воскресенье: выходной</t>
  </si>
  <si>
    <t>+78126446388</t>
  </si>
  <si>
    <t>Санкт-Петербургский национальный исследовательский Академический университет имени Ж.И. Алферова Российской академии наук</t>
  </si>
  <si>
    <t>1027802511879</t>
  </si>
  <si>
    <t>194021, Санкт-Петербург, Хлопина, 8</t>
  </si>
  <si>
    <t>`+7 (812) 247-44-72</t>
  </si>
  <si>
    <t>priem@spbau.ru</t>
  </si>
  <si>
    <t>Санкт-Петербургский политехнический университет Петра Великого</t>
  </si>
  <si>
    <t>1027802505279</t>
  </si>
  <si>
    <t>195251, Санкт-Петербург, ул. Политехническая, 29</t>
  </si>
  <si>
    <t>ПН-ПТ 10:00-16:00, СБ 10:00-14:00 (с 20 июня по 31 августа)</t>
  </si>
  <si>
    <t>8 (800) 707 18 99</t>
  </si>
  <si>
    <t>abitur@spbstu.ru</t>
  </si>
  <si>
    <t>Санкт-Петербургский университет государственной противопожарной службы Министерства Российской Федерации по делам гражданской обороны, чрезвычайным ситуациям и ликвидации последствий стихийных бедствий</t>
  </si>
  <si>
    <t>1027804865660</t>
  </si>
  <si>
    <t>196105, Санкт-Петербург, ПРОСПЕКТ МОСКОВСКИЙ, 149</t>
  </si>
  <si>
    <t>понедельник-четверг: 9:00-18:00, пятница: 9:00-16:30, суббота и воскресенье: выходной</t>
  </si>
  <si>
    <t>8(812) 645-20-34</t>
  </si>
  <si>
    <t>abitur@igps.ru</t>
  </si>
  <si>
    <t>Санкт-Петербургский университет технологий управления и экономики</t>
  </si>
  <si>
    <t>1027810240260</t>
  </si>
  <si>
    <t>190103, Санкт-Петербург, Лермонтовский проспект, 44</t>
  </si>
  <si>
    <t>понедельник - четверг: 9:00 -17:45, пятница: 9:00 -16:45, суббота и воскресенье: выходной</t>
  </si>
  <si>
    <t>8 (800) 600-86-76</t>
  </si>
  <si>
    <t>Приемная комиссия ЧОУ ВО "Санкт-Петербургский университет технологий управления и экономики": priem@spbacu.ru; Приемная комиссия Алтайского института экономики - филиала ЧОУ ВО "Санкт-Петербургский университет технологий управления и экономики": barnaul@spbacu.ru</t>
  </si>
  <si>
    <t>Санкт-Петербургский Федеральный исследовательский центр Российской академии наук</t>
  </si>
  <si>
    <t>1027800514411</t>
  </si>
  <si>
    <t>199178, Санкт-Петербург, 14 линия В.О., 39</t>
  </si>
  <si>
    <t>8 812 508-33-11, доб. 5</t>
  </si>
  <si>
    <t>aspirant@iias.spb.su</t>
  </si>
  <si>
    <t>Санкт-Петербургский Христианский Университет</t>
  </si>
  <si>
    <t>1027800013670</t>
  </si>
  <si>
    <t>fgos@spbcu.ru</t>
  </si>
  <si>
    <t>г. САНКТ-ПЕТЕРБУРГ</t>
  </si>
  <si>
    <t>190020, г. САНКТ-ПЕТЕРБУРГ, Нарвский проспект, 13</t>
  </si>
  <si>
    <t>89117238419</t>
  </si>
  <si>
    <t>Саратовская государственная консерватория имени Л.В. Собинова</t>
  </si>
  <si>
    <t>1026403670765</t>
  </si>
  <si>
    <t>+78452-39-00-29 (107)</t>
  </si>
  <si>
    <t>410012, Саратов, проспект имени Петра Столыпина , 1</t>
  </si>
  <si>
    <t>priem@sarcons.ru</t>
  </si>
  <si>
    <t>Саратовская государственная юридическая академия</t>
  </si>
  <si>
    <t>1026403348069</t>
  </si>
  <si>
    <t>m.opr@ssla.ru</t>
  </si>
  <si>
    <t>410056, Саратов, им. Чернышевского Н.Г., 104</t>
  </si>
  <si>
    <t>понедельник-пятница: 9:00-16:00 суббота-воскресенье: 9:00-14:00</t>
  </si>
  <si>
    <t>+7(845)229-91-05</t>
  </si>
  <si>
    <t>Саратовская православная духовная семинария Саратовской Епархии Русской Православной Церкви</t>
  </si>
  <si>
    <t>1036405002138</t>
  </si>
  <si>
    <t>410028, Саратов, им. Мичурина И. В., 92</t>
  </si>
  <si>
    <t>+78452491844</t>
  </si>
  <si>
    <t>sarsemi@mail.ru</t>
  </si>
  <si>
    <t>Саратовский государственный медицинский университет имени В. И. Разумовского</t>
  </si>
  <si>
    <t>1026402664903</t>
  </si>
  <si>
    <t>410012, Саратов, Большая Садовая, 112</t>
  </si>
  <si>
    <t>понедельник-пятница: 9:00-16:00</t>
  </si>
  <si>
    <t>+78452393362</t>
  </si>
  <si>
    <t>admission@sgmu.ru</t>
  </si>
  <si>
    <t>Саратовский государственный технический университет имени Гагарина Ю.А.</t>
  </si>
  <si>
    <t>1026403341139</t>
  </si>
  <si>
    <t>410054, Саратов, Политехническая, 77</t>
  </si>
  <si>
    <t>понедельник-пятница: 9:00-17:00, суббота 09.00-13.00, воскресенье: выходной</t>
  </si>
  <si>
    <t>8(8452) 99-86-66</t>
  </si>
  <si>
    <t>cpk@sstu.ru</t>
  </si>
  <si>
    <t>Саратовский государственный университет генетики, биотехнологии и инженерии имени Н.И. Вавилова</t>
  </si>
  <si>
    <t>1026403670050</t>
  </si>
  <si>
    <t>pk@vavilovsar.ru</t>
  </si>
  <si>
    <t>410012, Саратов, проспект им. Петра Столыпина, д. 4</t>
  </si>
  <si>
    <t>понедельник-пятница: 9:00-15:00, суббота: 9:00-13:00, воскресенье: выходной</t>
  </si>
  <si>
    <t>8 (8452) 26-50-78</t>
  </si>
  <si>
    <t>Саратовский национальный исследовательский государственный университет имени Н.Г. Чернышевского</t>
  </si>
  <si>
    <t>1026402674935</t>
  </si>
  <si>
    <t>410012, Саратов, Астраханская, 83</t>
  </si>
  <si>
    <t>понедельник - пятница: 9.00-16.00 мск; суббота и воскресенье: выходной</t>
  </si>
  <si>
    <t>+7(845)251-92-26</t>
  </si>
  <si>
    <t>cpk@sgu.ru</t>
  </si>
  <si>
    <t>Сахалинский государственный университет</t>
  </si>
  <si>
    <t>1026500534720</t>
  </si>
  <si>
    <t>693008, Южно-Сахалинск, ул. Ленина, 290</t>
  </si>
  <si>
    <t>+74242450300</t>
  </si>
  <si>
    <t>pk@sakhgu.ru</t>
  </si>
  <si>
    <t>Севастопольский государственный университет</t>
  </si>
  <si>
    <t>1149204039181</t>
  </si>
  <si>
    <t>299053, Севастополь, Университетская, 33</t>
  </si>
  <si>
    <t>понедельник-пятница 9:00 - 17:00 суббота и воскресенье: выходной</t>
  </si>
  <si>
    <t>+7(8692)222-911</t>
  </si>
  <si>
    <t>priem@sevsu.ru</t>
  </si>
  <si>
    <t>Северный (Арктический) федеральный университет имени М.В. Ломоносова</t>
  </si>
  <si>
    <t>1022900517793</t>
  </si>
  <si>
    <t>8-960-012-46-01</t>
  </si>
  <si>
    <t>163002, Архангельск, набережная Северной Двины, 17</t>
  </si>
  <si>
    <t>Понедельник - пятница: 9:00 - 17:00, суббота: 10:00 - 14-00, воскресенье: выходной</t>
  </si>
  <si>
    <t>pd@narfu.ru</t>
  </si>
  <si>
    <t>Северный государственный медицинский университет Министерства здравоохранения Российской Федерации</t>
  </si>
  <si>
    <t>1022900529431</t>
  </si>
  <si>
    <t>163069, Архангельск, пр. Троицкий, 51</t>
  </si>
  <si>
    <t>Понедельник- суббота: 10:00-17:00, воскресенье: выходной</t>
  </si>
  <si>
    <t>+7 (921) 678-48-01</t>
  </si>
  <si>
    <t>priem29@nsmu.ru</t>
  </si>
  <si>
    <t>Северо-Восточный государственный университет</t>
  </si>
  <si>
    <t>1024900968168</t>
  </si>
  <si>
    <t>pk@svgu.ru</t>
  </si>
  <si>
    <t>685000, Магадан, ул. Портовая, 13</t>
  </si>
  <si>
    <t>понедельник-пятница 10.00-17.00 (время местное, +8 часов к Москве), суббота-воскресенье -выходной</t>
  </si>
  <si>
    <t>8(4132)630021</t>
  </si>
  <si>
    <t>Северо-Восточный федеральный университет имени М.К. Аммосова</t>
  </si>
  <si>
    <t>1021401044587</t>
  </si>
  <si>
    <t>+7 (4112) 49-69-62</t>
  </si>
  <si>
    <t>priem@svfu.ru</t>
  </si>
  <si>
    <t>677000, Якутск, Белинского, 58</t>
  </si>
  <si>
    <t>Понедельник-Пятница: 09:00-17:00; Суббота-Воскресенье: выходной</t>
  </si>
  <si>
    <t>Северо-Западный государственный медицинский университет имени И.И. Мечникова Министерства здравоохранения Российской Федерации</t>
  </si>
  <si>
    <t>1117847434990</t>
  </si>
  <si>
    <t>191015, Санкт-Петербург, Кирочная, 41</t>
  </si>
  <si>
    <t>понедельник-пятница: 10:00-16:00</t>
  </si>
  <si>
    <t>8 (812) 303-50-53</t>
  </si>
  <si>
    <t>3035053@szgmu.ru</t>
  </si>
  <si>
    <t>Северо-Западный университет</t>
  </si>
  <si>
    <t>1257800070879</t>
  </si>
  <si>
    <t>priem@szu.ru</t>
  </si>
  <si>
    <t>191002, Санкт-Петербург, Кавалергардская, 7</t>
  </si>
  <si>
    <t>+79219390767</t>
  </si>
  <si>
    <t>Северо-Кавказская государственная академия</t>
  </si>
  <si>
    <t>1030900711335</t>
  </si>
  <si>
    <t>Черкесск</t>
  </si>
  <si>
    <t>369000, Черкесск, Ставропольская, 36</t>
  </si>
  <si>
    <t>Понедельник-пятница: 09:30-18:00 Суббота: 09:30-12:00 Воскресенье: выходной</t>
  </si>
  <si>
    <t>8(8782)293613</t>
  </si>
  <si>
    <t>priem@ncsa.ru</t>
  </si>
  <si>
    <t>Северо-Кавказский горно-металлургический институт (государственный технологический университет)</t>
  </si>
  <si>
    <t>1031500350111</t>
  </si>
  <si>
    <t>362021, Владикавказ, Николаева, 44</t>
  </si>
  <si>
    <t>+7 (8672) 40-72-38</t>
  </si>
  <si>
    <t>abit@skgmi-gtu.ru</t>
  </si>
  <si>
    <t>Северо-Кавказский государственный институт искусств</t>
  </si>
  <si>
    <t>1020700738211</t>
  </si>
  <si>
    <t>360000, Нальчик, Ленина, 1</t>
  </si>
  <si>
    <t>понедельник-пятница: 9:00-18:00 суббота: 9:00-13:00</t>
  </si>
  <si>
    <t>8 (8662) 40-40-73</t>
  </si>
  <si>
    <t>priem@skgii.ru</t>
  </si>
  <si>
    <t>Северо-Кавказский социальный институт</t>
  </si>
  <si>
    <t>1162651055346</t>
  </si>
  <si>
    <t>abitur-sksi@mail.ru</t>
  </si>
  <si>
    <t>355012, Ставрополь, Голенева, 59А</t>
  </si>
  <si>
    <t>понедельник-пятница: 9:00-17:00: суббота: 9:00-14:00 воскресенье: выходной</t>
  </si>
  <si>
    <t>+7-962-446-94-54</t>
  </si>
  <si>
    <t>Северо-Кавказский университет дружбы народов</t>
  </si>
  <si>
    <t>1210500016880</t>
  </si>
  <si>
    <t>sk-udn@mail.ru</t>
  </si>
  <si>
    <t>8 (989) 889-09-09</t>
  </si>
  <si>
    <t>Северо-Кавказский федеральный научно-клинический центр</t>
  </si>
  <si>
    <t>1022601229342</t>
  </si>
  <si>
    <t>nauka@skfmba.ru</t>
  </si>
  <si>
    <t>357600, Ессентуки, Советская, 24</t>
  </si>
  <si>
    <t>Понедельник - пятница: 8:00-17.00, перерыв: 12:00-13:00.</t>
  </si>
  <si>
    <t>8(87934) 992-91</t>
  </si>
  <si>
    <t>Северо-Кавказский федеральный научный аграрный центр</t>
  </si>
  <si>
    <t>1022603028194</t>
  </si>
  <si>
    <t>Михайловск</t>
  </si>
  <si>
    <t>356241, Михайловск, Ул Никонова, Д 49</t>
  </si>
  <si>
    <t>понедельник- пятница:9:00-16:30 суббота и воскресенье: выходной</t>
  </si>
  <si>
    <t>8-(86553)- 2-32-97</t>
  </si>
  <si>
    <t>info@fnac.center</t>
  </si>
  <si>
    <t>Северо-Кавказский федеральный научный центр садоводства, виноградарства, виноделия</t>
  </si>
  <si>
    <t>1022301810706</t>
  </si>
  <si>
    <t>kubansad@kubannet.ru</t>
  </si>
  <si>
    <t>350901, Краснодар, им. 40-летия Победы, 39</t>
  </si>
  <si>
    <t>понедельник-четверг: 10:00-17:00 пятница: 10:00-14:00 суббота и воскресенье: выходной</t>
  </si>
  <si>
    <t>8(861)252-58-76</t>
  </si>
  <si>
    <t>Северо-Кавказский федеральный университет</t>
  </si>
  <si>
    <t>1022601961580</t>
  </si>
  <si>
    <t>355017, Ставрополь, Пушкина, 1</t>
  </si>
  <si>
    <t>09.00-18.00 ежедневно</t>
  </si>
  <si>
    <t>8-8652-95-68-13</t>
  </si>
  <si>
    <t>selcom@ncfu.ru</t>
  </si>
  <si>
    <t>Северо-Осетинская государственная медицинская академия» Министерства здравоохранения Российской Федерации</t>
  </si>
  <si>
    <t>1021500581024</t>
  </si>
  <si>
    <t>362019, Владикавказ, Пушкинская, 40</t>
  </si>
  <si>
    <t>+7 (8672) 56-32-81</t>
  </si>
  <si>
    <t>sogma.priem@yandex.ru</t>
  </si>
  <si>
    <t>Северо-Осетинский государственный университет имени Коста Левановича Хетагурова</t>
  </si>
  <si>
    <t>1021500579704</t>
  </si>
  <si>
    <t>362025, Владикавказ, Ватутина, 44-46</t>
  </si>
  <si>
    <t>понедельник-суббота: 09:00-17:00 воскресенье: выходной</t>
  </si>
  <si>
    <t>8-(8672) 33 39 20</t>
  </si>
  <si>
    <t>priem@nosu.ru</t>
  </si>
  <si>
    <t>Сибирский государственный автомобильно-дорожный университет (СибАДИ)</t>
  </si>
  <si>
    <t>1025500523950</t>
  </si>
  <si>
    <t>priem_kom@sibadi.org</t>
  </si>
  <si>
    <t>644080, Омск, Проспект Мира, 5</t>
  </si>
  <si>
    <t>понедельник - пятница : 9:00-16:00, суббота: 10:00-13:00 воскресенье: выходной</t>
  </si>
  <si>
    <t>+7-913-601-17-95</t>
  </si>
  <si>
    <t>Сибирский государственный индустриальный университет</t>
  </si>
  <si>
    <t>1024201470908</t>
  </si>
  <si>
    <t>654007, Новокузнецк, Кирова, 42</t>
  </si>
  <si>
    <t>понедельник-четверг: 9:00 – 17:00, пятница: 9:00 – 14:00</t>
  </si>
  <si>
    <t>+7(3843) 32-89-49</t>
  </si>
  <si>
    <t>pr_com@sibsiu.ru</t>
  </si>
  <si>
    <t>Сибирский государственный институт искусств имени Дмитрия Хворостовского</t>
  </si>
  <si>
    <t>1022402665559</t>
  </si>
  <si>
    <t>+7 (391) 234-54-01</t>
  </si>
  <si>
    <t>priem@sibgii.ru</t>
  </si>
  <si>
    <t>660049, Красноярск, Ленина, 22</t>
  </si>
  <si>
    <t>понедельник-пятница 9:00-17:00 суббота и воскресенье: выходной</t>
  </si>
  <si>
    <t>Сибирский государственный медицинский университет</t>
  </si>
  <si>
    <t>1027000885251</t>
  </si>
  <si>
    <t>634050, Томск, Московский тракт, 2</t>
  </si>
  <si>
    <t>Понедельник-пятница 09:00-17:00; суббота 09:00-12:00; воскресенье выходной. Без обеда/перерыва.</t>
  </si>
  <si>
    <t>88002509345</t>
  </si>
  <si>
    <t>sannikova.ey@ssmu.ru</t>
  </si>
  <si>
    <t>Сибирский государственный университет водного транспорта</t>
  </si>
  <si>
    <t>1025403202440</t>
  </si>
  <si>
    <t>v.v.solodskaya@nsawt.ru</t>
  </si>
  <si>
    <t>630099, Новосибирск, Щетинкина, 33</t>
  </si>
  <si>
    <t>Понедельник-четверг: 9:00-18:00 пятница: 9:00-17:30 суббота и воскресенье: выходной</t>
  </si>
  <si>
    <t>+7 (800) 200-48-63</t>
  </si>
  <si>
    <t>Сибирский государственный университет геосистем и технологий</t>
  </si>
  <si>
    <t>1025401493061</t>
  </si>
  <si>
    <t>priem.com@ssga.ru</t>
  </si>
  <si>
    <t>630108, Новосибирск, Плахотного, 10</t>
  </si>
  <si>
    <t>понедельник-: 5:00-13:00 (МСК) пятница: 5:00-11:30(МСК) суббота: 5:00-9:00(МСК) воскресенье: выходной</t>
  </si>
  <si>
    <t>`+7 (383) 354-98-38</t>
  </si>
  <si>
    <t>Сибирский государственный университет инженерии и биотехнологий</t>
  </si>
  <si>
    <t>1025401932753</t>
  </si>
  <si>
    <t>pk@edubiotech.ru</t>
  </si>
  <si>
    <t>630039, Новосибирск, Добролюбова, 160</t>
  </si>
  <si>
    <t>понедельник-пятница: 9:00-18:00 суббота: 9:00-13:00 воскресенье: выходной</t>
  </si>
  <si>
    <t>8 (383) 316-20-14</t>
  </si>
  <si>
    <t>Сибирский государственный университет науки и технологий имени академика М.Ф. Решетнева</t>
  </si>
  <si>
    <t>1022402056038</t>
  </si>
  <si>
    <t>660037, Красноярск, проспект им газеты Красноярский рабочий, 31</t>
  </si>
  <si>
    <t>8 (391) 222-75-55</t>
  </si>
  <si>
    <t>pk@sibsau.ru</t>
  </si>
  <si>
    <t>Сибирский государственный университет путей сообщения</t>
  </si>
  <si>
    <t>1025401011680</t>
  </si>
  <si>
    <t>stu-ssv@yandex.ru</t>
  </si>
  <si>
    <t>630049, Новосибирск, Дуси Ковальчук, 191</t>
  </si>
  <si>
    <t>понедельник-пятница: 9:00-17:00 суббота: 9:00-12:00 воскресенье: выходной</t>
  </si>
  <si>
    <t>83833280585</t>
  </si>
  <si>
    <t>Сибирский государственный университет телекоммуникаций и информатики</t>
  </si>
  <si>
    <t>1025401908311</t>
  </si>
  <si>
    <t>630102, Новосибирск, Новосибирск, ул. Гурьевская, 51</t>
  </si>
  <si>
    <t>понедельник-четверг: 9:30-17:00 пятница: 9:30-17:00 суббота: 10:00-11.30 воскресенье: выходной.</t>
  </si>
  <si>
    <t>+73832698228</t>
  </si>
  <si>
    <t>prikom@sibsutis.ru</t>
  </si>
  <si>
    <t>Сибирский государственный университет физической культуры и спорта</t>
  </si>
  <si>
    <t>1025501250235</t>
  </si>
  <si>
    <t>644071, Омск, ул. Масленникова, 144</t>
  </si>
  <si>
    <t>понедельник - пятница: 10.00 - 17.00</t>
  </si>
  <si>
    <t>+7(3812)667-814</t>
  </si>
  <si>
    <t>priem@sibgufk.ru</t>
  </si>
  <si>
    <t>Сибирский институт бизнеса и информационных технологий</t>
  </si>
  <si>
    <t>1195543025006</t>
  </si>
  <si>
    <t>644116, Омск, 24 Северная, 196</t>
  </si>
  <si>
    <t>понедельник-пятница: 9.00-18.00, суббота: 10.00-12.00</t>
  </si>
  <si>
    <t>+7 (3812) 26-54-99</t>
  </si>
  <si>
    <t>pk@sano.ru</t>
  </si>
  <si>
    <t>Сибирский институт бизнеса, управления и психологии</t>
  </si>
  <si>
    <t>1162468056486</t>
  </si>
  <si>
    <t>info@sibup.ru</t>
  </si>
  <si>
    <t>660037, Красноярск, Московская, 7</t>
  </si>
  <si>
    <t>понедельник-пятница: 09:00-16:00 суббота и воскресенье: выходной</t>
  </si>
  <si>
    <t>8(391)264-55-29</t>
  </si>
  <si>
    <t>Сибирский институт физиологии и биохимии растений Сибирского отделения Российской академии наук</t>
  </si>
  <si>
    <t>1023801753612</t>
  </si>
  <si>
    <t>pavnatser@mail.ru</t>
  </si>
  <si>
    <t>664033, Иркутск, Лермонтова, 132</t>
  </si>
  <si>
    <t>+79500652929</t>
  </si>
  <si>
    <t>Сибирский университет потребительской кооперации</t>
  </si>
  <si>
    <t>1185476078875</t>
  </si>
  <si>
    <t>630087, Новосибирск, Проспект Карла Маркса, 26</t>
  </si>
  <si>
    <t>8-913-703-05-22</t>
  </si>
  <si>
    <t>input@sibupk.nsk.su</t>
  </si>
  <si>
    <t>Сибирский федеральный научный центр агробиотехнологий Российской академии наук</t>
  </si>
  <si>
    <t>1025404349992</t>
  </si>
  <si>
    <t>asp@sfsca.ru</t>
  </si>
  <si>
    <t>Краснообск</t>
  </si>
  <si>
    <t>630501, Краснообск, нет, нет</t>
  </si>
  <si>
    <t>Понедельник-пятница: 9-12, 13-30-16-30, выходной: суббота и воскресенье</t>
  </si>
  <si>
    <t>(383) 348-64-63 - аспирантура, (383) 348-14-40 приемная директора</t>
  </si>
  <si>
    <t>Сибирский федеральный университет</t>
  </si>
  <si>
    <t>1022402137460</t>
  </si>
  <si>
    <t>660041, Красноярск, пр. Свободный, 79</t>
  </si>
  <si>
    <t>понедельник-пятница: 10:00-17:00, обед: 12:30-13:00; суббота и воскресенье выходной</t>
  </si>
  <si>
    <t>+7 (391) 2062266</t>
  </si>
  <si>
    <t>zayavlenie@sfu-kras.ru</t>
  </si>
  <si>
    <t>Сибирский юридический университет</t>
  </si>
  <si>
    <t>1025500974311</t>
  </si>
  <si>
    <t>abitura@siblu.ru</t>
  </si>
  <si>
    <t>644010, Омск, Короленко, 12</t>
  </si>
  <si>
    <t>понедельник-пятница: 9:00-18:00 суббота: 10:00-14:00</t>
  </si>
  <si>
    <t>8-3812-51-09-58</t>
  </si>
  <si>
    <t>СКОЛКОВСКИЙ ИНСТИТУТ НАУКИ И ТЕХНОЛОГИЙ</t>
  </si>
  <si>
    <t>1115000005922</t>
  </si>
  <si>
    <t>Moscow</t>
  </si>
  <si>
    <t>121205, Moscow, Большой бульвар, 30</t>
  </si>
  <si>
    <t>Понедельник-пятница: 10:00-17:00</t>
  </si>
  <si>
    <t>+7 (495) 280-14-81_ доб.3387</t>
  </si>
  <si>
    <t>admissions@skoltech.ru</t>
  </si>
  <si>
    <t>СЛАВЯНО-ГРЕКО-ЛАТИНСКАЯ АКАДЕМИЯ</t>
  </si>
  <si>
    <t>1167700064806</t>
  </si>
  <si>
    <t>105005, Москва, улица Радио, 20</t>
  </si>
  <si>
    <t>понедельник-пятница: 9:00-19:30 суббота-воскресенье: 10:00-19:00</t>
  </si>
  <si>
    <t>+7(495)225-97-73</t>
  </si>
  <si>
    <t>priem@sgla.ru</t>
  </si>
  <si>
    <t>Смоленская государственная сельскохозяйственная академия</t>
  </si>
  <si>
    <t>1026701445231</t>
  </si>
  <si>
    <t>214000, Смоленск, Б. Советская, 10/2</t>
  </si>
  <si>
    <t>понедельник-четверг: 8:30-17:30 пятница: 8:300-16:45 суббота и воскресенье: выходной</t>
  </si>
  <si>
    <t>8(4812) 38-18-18</t>
  </si>
  <si>
    <t>priem@sgsha.ru</t>
  </si>
  <si>
    <t>Смоленский государственный институт искусств</t>
  </si>
  <si>
    <t>1026701460147</t>
  </si>
  <si>
    <t>pksgii@yandex.ru</t>
  </si>
  <si>
    <t>214020, Смоленск, Румянцева, 8</t>
  </si>
  <si>
    <t>Понедельник-пятница: 9:00-17:00 суббота: 9:00-13:00</t>
  </si>
  <si>
    <t>89002202090</t>
  </si>
  <si>
    <t>Смоленский государственный медицинский университет Министерства здравоохранения Российской Федерации</t>
  </si>
  <si>
    <t>1026701435848</t>
  </si>
  <si>
    <t>214019, Смоленск, Крупской, 28</t>
  </si>
  <si>
    <t>понедельник-пятница: 10:00-16:00, суббота: 10:00-14:00, воскресенье: выходной</t>
  </si>
  <si>
    <t>+7 (4812) 70-08-47</t>
  </si>
  <si>
    <t>priem@smolgmu.ru</t>
  </si>
  <si>
    <t>Смоленский государственный университет</t>
  </si>
  <si>
    <t>1026701447123</t>
  </si>
  <si>
    <t>214000, Смоленск, Пржевальского, 4</t>
  </si>
  <si>
    <t>понедельник-пятница 9:00-18:00 суббота и воскресенье: выходной</t>
  </si>
  <si>
    <t>+7 (910) 728-94-48</t>
  </si>
  <si>
    <t>abiturient@smolgu.ru</t>
  </si>
  <si>
    <t>Смоленский государственный университет спорта</t>
  </si>
  <si>
    <t>1026701439720</t>
  </si>
  <si>
    <t>214018, Смоленск, пр. Гагарина, 23</t>
  </si>
  <si>
    <t>понедельник-пятница: 9:00-16:00, суббота:9:00-13:00 воскресенье: выходной</t>
  </si>
  <si>
    <t>8 (4812) 30-72-17</t>
  </si>
  <si>
    <t>priemsgus@mail.ru</t>
  </si>
  <si>
    <t>СОВРЕМЕННЫЙ ГУМАНИТАРНО-ПЕДАГОГИЧЕСКИЙ УНИВЕРСИТЕТ</t>
  </si>
  <si>
    <t>1250500019440</t>
  </si>
  <si>
    <t>sgpu-vuz@mail.ru</t>
  </si>
  <si>
    <t>368607, Дербент, Хандадаша Тагиева, 33</t>
  </si>
  <si>
    <t>Понедельник - Пятница: 9:00 - 17:00; Суббота: 9:00 - 14:00; Воскресенье: выходной</t>
  </si>
  <si>
    <t>+7 (928) 671 72 81</t>
  </si>
  <si>
    <t>Современный технический университет</t>
  </si>
  <si>
    <t>1156234021206</t>
  </si>
  <si>
    <t>sti107@yandex.ru</t>
  </si>
  <si>
    <t>390048, Рязань, Новоселов, 35А</t>
  </si>
  <si>
    <t>Понедельник -пятница с 9:00-17:00 суббота и воскресенье выходной</t>
  </si>
  <si>
    <t>8(4912)301630</t>
  </si>
  <si>
    <t>Социально-педагогический институт</t>
  </si>
  <si>
    <t>1020502001816</t>
  </si>
  <si>
    <t>368600, Дербент, Х.Тагиева, 33</t>
  </si>
  <si>
    <t>8-928-671-72-81</t>
  </si>
  <si>
    <t>priem@spi-vuz.ru; spi-vuz@mail.ru</t>
  </si>
  <si>
    <t>Сочинский государственный университет</t>
  </si>
  <si>
    <t>1022302918406</t>
  </si>
  <si>
    <t>354000, Сочи, ул.Пластунская, 94</t>
  </si>
  <si>
    <t>+7 (800) 200-77-10</t>
  </si>
  <si>
    <t>pk@sutr.ru</t>
  </si>
  <si>
    <t>Специальная астрофизическая обсерватория Российской академии наук</t>
  </si>
  <si>
    <t>1020900974104</t>
  </si>
  <si>
    <t>Нижний Архыз</t>
  </si>
  <si>
    <t>369167, Нижний Архыз, нет, нет</t>
  </si>
  <si>
    <t>понедельник-четверг: 09:00-17:30, перерыв: 12:00-14:00; пятница: 09:00-15:00, перерыв: 12:00-15:00; суббота и воскресенье: выходной</t>
  </si>
  <si>
    <t>+78782293343</t>
  </si>
  <si>
    <t>edu@sao.ru</t>
  </si>
  <si>
    <t>Среднерусский гуманитарно-технологический институт</t>
  </si>
  <si>
    <t>1024000954031</t>
  </si>
  <si>
    <t>249038, Обнинск, Гурьянова, 19а</t>
  </si>
  <si>
    <t>+74843932432</t>
  </si>
  <si>
    <t>sgti-priem@yandex.ru</t>
  </si>
  <si>
    <t>Сретенская духовная академия Русской Православной Церкви</t>
  </si>
  <si>
    <t>1127799006741</t>
  </si>
  <si>
    <t>107031, Москва, Большая Лубянка, 19</t>
  </si>
  <si>
    <t>+7 (968) 988-68-03</t>
  </si>
  <si>
    <t>priem@sdamp.ru</t>
  </si>
  <si>
    <t>Ставропольский государственный аграрный университет</t>
  </si>
  <si>
    <t>1022601993468</t>
  </si>
  <si>
    <t>priem@stgau.ru</t>
  </si>
  <si>
    <t>355017, Ставрополь, переулок Зоотехнический, 12</t>
  </si>
  <si>
    <t>понедельник-пятница: 8:30-17:30 суббота: 8:30-13:00 воскресенье: выходной</t>
  </si>
  <si>
    <t>8(8652)315-915</t>
  </si>
  <si>
    <t>Ставропольский государственный медицинский университет Министерства здравоохранения Российской Федерации</t>
  </si>
  <si>
    <t>1022601954715</t>
  </si>
  <si>
    <t>356712, Ставрополь, Мира, 310</t>
  </si>
  <si>
    <t>понедельник-пятница с 9:00 до 17:00 МСК, перерыв с 12:00 до 13:00 МСК; суббота с 9:00 до 15:00 МСК, перерыв с 12:00 до 13:00 МСК; воскресенье - выходной</t>
  </si>
  <si>
    <t>8(8652) 35-23-35</t>
  </si>
  <si>
    <t>priem@stgmu.ru</t>
  </si>
  <si>
    <t>Ставропольский государственный педагогический институт</t>
  </si>
  <si>
    <t>1022601948148</t>
  </si>
  <si>
    <t>8(8652)56-39-70</t>
  </si>
  <si>
    <t>priem@sspi.ru</t>
  </si>
  <si>
    <t>355029, Ставрополь, Ленина, 417</t>
  </si>
  <si>
    <t>Сургутский государственный педагогический университет</t>
  </si>
  <si>
    <t>1028600614987</t>
  </si>
  <si>
    <t>Сургут</t>
  </si>
  <si>
    <t>628417, Сургут, 50 лет ВЛКСМ, 10/2</t>
  </si>
  <si>
    <t>+7 3462 774411</t>
  </si>
  <si>
    <t>abitur@surgpu.ru</t>
  </si>
  <si>
    <t>Сургутский государственный университет</t>
  </si>
  <si>
    <t>1028600609180</t>
  </si>
  <si>
    <t>628410, Сургут, пр. Ленина, 1</t>
  </si>
  <si>
    <t>Понедельник-суббота: 9:00 - 18:00 воскресенье: выходной</t>
  </si>
  <si>
    <t>8(3462)76-28-00</t>
  </si>
  <si>
    <t>pr_kom@surgu.ru</t>
  </si>
  <si>
    <t>Сыктывкарский государственный университет имени Питирима Сорокина</t>
  </si>
  <si>
    <t>1021100507230</t>
  </si>
  <si>
    <t>167001, Сыктывкар, Октябрьский проспект, 55</t>
  </si>
  <si>
    <t>понедельник-четверг: 9:00-17:00 пятница: 9:00-16:45 суббота и воскресенье: выходной</t>
  </si>
  <si>
    <t>+7(8212)39-04-44</t>
  </si>
  <si>
    <t>abiturient@syktsu.ru</t>
  </si>
  <si>
    <t>Таврическая духовная семинария</t>
  </si>
  <si>
    <t>1157700017155</t>
  </si>
  <si>
    <t>kanc-tds@yandex.ru</t>
  </si>
  <si>
    <t>295011, Симферополь, Героев Аджимушкая, 9/11</t>
  </si>
  <si>
    <t>+79783191908</t>
  </si>
  <si>
    <t>Таганрогский институт управления и экономики</t>
  </si>
  <si>
    <t>1026102579029</t>
  </si>
  <si>
    <t>Таганрог</t>
  </si>
  <si>
    <t>347900, Таганрог, Петровская, 45</t>
  </si>
  <si>
    <t>понедельник-пятница: 9:00-17:00, суббота: 9:00-14:00, воскресенье: выходной</t>
  </si>
  <si>
    <t>8(8634)327327</t>
  </si>
  <si>
    <t>priem@tmei.ru</t>
  </si>
  <si>
    <t>Тамбовская духовная семинария Тамбовской Епархии Русской Православной Церкви</t>
  </si>
  <si>
    <t>1036800003646</t>
  </si>
  <si>
    <t>tdsmetod@yandex.ru</t>
  </si>
  <si>
    <t>392000, Тамбов, М.Горького, 3</t>
  </si>
  <si>
    <t>понедельник-пятница: 9.00-17.00 суббота и воскресенье выходной</t>
  </si>
  <si>
    <t>+74752559272</t>
  </si>
  <si>
    <t>Тамбовский государственный музыкально-педагогический институт им. С.В.Рахманинова</t>
  </si>
  <si>
    <t>1026801156183</t>
  </si>
  <si>
    <t>i_center@tgmpi.ru</t>
  </si>
  <si>
    <t>392000, Тамбов, Советская, 87</t>
  </si>
  <si>
    <t>+74752759276</t>
  </si>
  <si>
    <t>Тамбовский государственный технический университет</t>
  </si>
  <si>
    <t>1026801156557</t>
  </si>
  <si>
    <t>392000, Тамбов, Советская, 106</t>
  </si>
  <si>
    <t>(4752) 630488</t>
  </si>
  <si>
    <t>uglanova.ov@mail.tstu.ru</t>
  </si>
  <si>
    <t>Тамбовский государственный университет имени Г.Р. Державина</t>
  </si>
  <si>
    <t>1026801156689</t>
  </si>
  <si>
    <t>abiturient@tsutmb.ru</t>
  </si>
  <si>
    <t>392000, Тамбов, ул. Интернациональная, д.33</t>
  </si>
  <si>
    <t>Понедельник: 9.00 - 17.00 Вторник: 9.00 - 17.00 Среда: 9.00 - 17.00 Четверг: 9.00 - 17.00 Пятница: 9.00 - 17.00 Суббота: 9.00 - 13.00 Воскресенье: выходной</t>
  </si>
  <si>
    <t>+74752532222</t>
  </si>
  <si>
    <t>Тверская государственная сельскохозяйственная академия</t>
  </si>
  <si>
    <t>1026900585843</t>
  </si>
  <si>
    <t>priem@tvgsha.ru</t>
  </si>
  <si>
    <t>170904, Тверь, ул. Маршала Василевского (Сахарово), 7</t>
  </si>
  <si>
    <t>8(4822) 53-14-31</t>
  </si>
  <si>
    <t>Тверской государственный медицинский университет Министерства здравоохранения Российской Федерации</t>
  </si>
  <si>
    <t>1026900571059</t>
  </si>
  <si>
    <t>170100, Тверь, Советская, 4</t>
  </si>
  <si>
    <t>8 (4822) 57-22-00</t>
  </si>
  <si>
    <t>abit@tvgmu.ru</t>
  </si>
  <si>
    <t>Тверской государственный технический университет</t>
  </si>
  <si>
    <t>1026900533747</t>
  </si>
  <si>
    <t>170026, Тверь, наб. А. Никитина, 22</t>
  </si>
  <si>
    <t>понедельник-пятница: 10:00-16:00, суббота: 10:00-14:00 и воскресенье: выходной</t>
  </si>
  <si>
    <t>(4822) 78-70-80</t>
  </si>
  <si>
    <t>priem@tstu.tver.ru</t>
  </si>
  <si>
    <t>Тверской государственный университет</t>
  </si>
  <si>
    <t>1026900577109</t>
  </si>
  <si>
    <t>170100, Тверь, Желябова, 33</t>
  </si>
  <si>
    <t>понедельник-пятница: 09:00-18:00 (обед 13:00-14:00) суббота: 09:00-14:00</t>
  </si>
  <si>
    <t>+7 (4822) 32-15-14</t>
  </si>
  <si>
    <t>priem@tversu.ru</t>
  </si>
  <si>
    <t>Театральный институт имени Бориса Щукина при Государственном академическом театре имени Евгения Вахтангова</t>
  </si>
  <si>
    <t>1027739809096</t>
  </si>
  <si>
    <t>119002, Москва, Большой Николопесковский переулок, 12-А</t>
  </si>
  <si>
    <t>+7-985-276-70-16</t>
  </si>
  <si>
    <t>priem-shuka@mail.ru</t>
  </si>
  <si>
    <t>Технический университет УГМК</t>
  </si>
  <si>
    <t>1146600002196</t>
  </si>
  <si>
    <t>Верхняя Пышма</t>
  </si>
  <si>
    <t>624091, Верхняя Пышма, пр-т Успенский, 3</t>
  </si>
  <si>
    <t>понедельник-пятница: 09.00 - 18.00; суббота: 09.00 - 14.00, воскресенье: выходной</t>
  </si>
  <si>
    <t>+73436878329</t>
  </si>
  <si>
    <t>priem@tu-ugmk.com</t>
  </si>
  <si>
    <t>Тихоокеанский государственный медицинский университет Министерства здравоохранения Российской Федерации</t>
  </si>
  <si>
    <t>1022501895877</t>
  </si>
  <si>
    <t>690002, Владивосток, Проспект Острякова, 2</t>
  </si>
  <si>
    <t>+7 (423) 239-54-00</t>
  </si>
  <si>
    <t>info@tgmu.ru</t>
  </si>
  <si>
    <t>Тихоокеанский государственный университет</t>
  </si>
  <si>
    <t>1022701404549</t>
  </si>
  <si>
    <t>680035, Хабаровск, Тихоокеанская, 136</t>
  </si>
  <si>
    <t>понедельник-пятница: 9:00-17:00; суббота: 9:00-13:00; воскресенье: выходной</t>
  </si>
  <si>
    <t>+7 (4212) 97-97-31</t>
  </si>
  <si>
    <t>abiturspvo@togudv.ru</t>
  </si>
  <si>
    <t>Тихоокеанский институт биоорганической химии им. Г.Б.Елякова Дальневосточного отделения Российской академии наук</t>
  </si>
  <si>
    <t>1022502129540</t>
  </si>
  <si>
    <t>+7(423)2311644</t>
  </si>
  <si>
    <t>science@piboc.dvo.ru</t>
  </si>
  <si>
    <t>690022, Владивосток, Проспект 100 лет Владивостоку, 159</t>
  </si>
  <si>
    <t>понедельник-пятница: 9:00-15:00; суббота и воскресенье: выходной</t>
  </si>
  <si>
    <t>Тихоокеанский институт географии Дальневосточного отделения Российской академии наук</t>
  </si>
  <si>
    <t>1022502130200</t>
  </si>
  <si>
    <t>690041, Владивосток, Радио, 7</t>
  </si>
  <si>
    <t>8 (423) 232-06-72</t>
  </si>
  <si>
    <t>aspiranturatig@yandex.ru</t>
  </si>
  <si>
    <t>Тихоокеанский океанологический институт им. В.И. Ильичева Дальневосточного отделения Российской академии наук</t>
  </si>
  <si>
    <t>1022502127856</t>
  </si>
  <si>
    <t>+7 (423) 231-26-08</t>
  </si>
  <si>
    <t>690041, Владивосток, Балтийская, 43</t>
  </si>
  <si>
    <t>понедельник-четверг: 9:00-16:15 пятница: 9:00-15:45 суббота и воскресенье: выходной</t>
  </si>
  <si>
    <t>aspirantura@poi.dvo.ru</t>
  </si>
  <si>
    <t>Тобольская комплексная научная станция Уральского отделения Российской академии наук</t>
  </si>
  <si>
    <t>1057725012366</t>
  </si>
  <si>
    <t>Тюменская область</t>
  </si>
  <si>
    <t>Тобольск</t>
  </si>
  <si>
    <t>626152, Тобольск, имени академика Юрия Осипова, 15</t>
  </si>
  <si>
    <t>Тольяттинская академия управления</t>
  </si>
  <si>
    <t>1026302002957</t>
  </si>
  <si>
    <t>abitur.taom@gmail.com</t>
  </si>
  <si>
    <t>Ставропольский лесхоз, Ягодинское лесничество</t>
  </si>
  <si>
    <t>445057, Ставропольский лесхоз, Ягодинское лесничество, квартал №5, оздоровительный комплекс «Алые паруса»</t>
  </si>
  <si>
    <t>Пн-Пт с 09:00-17:00</t>
  </si>
  <si>
    <t>8(8482) 555 044</t>
  </si>
  <si>
    <t>Тольяттинский государственный университет</t>
  </si>
  <si>
    <t>1036300997567</t>
  </si>
  <si>
    <t>445020, Тольятти, Белорусская, 14</t>
  </si>
  <si>
    <t>8 (8482) 63-00-11</t>
  </si>
  <si>
    <t>priem@tltsu.ru</t>
  </si>
  <si>
    <t>Томская духовная семинария Томской Епархии Русской Православной Церкви</t>
  </si>
  <si>
    <t>1027000004162</t>
  </si>
  <si>
    <t>634009, Томск, проспект Ленина, 82</t>
  </si>
  <si>
    <t>понедельник-четверг: 10:00-17:00 пятница: 10:00-17:00 суббота и воскресенье, праздники: выходной</t>
  </si>
  <si>
    <t>(3822) 512-645</t>
  </si>
  <si>
    <t>abiturient@tompds.ru</t>
  </si>
  <si>
    <t>Томский государственный архитектурно-строительный университет</t>
  </si>
  <si>
    <t>1027000882886</t>
  </si>
  <si>
    <t>pk@tsuab.ru</t>
  </si>
  <si>
    <t>634003, Томск, Соляная пл., 2</t>
  </si>
  <si>
    <t>Понедельник-пятница: 9:00-18:00; Суббота: 10:00-15:00; воскресенье: 10:00-13:00.</t>
  </si>
  <si>
    <t>+7(3822)90-33-06.</t>
  </si>
  <si>
    <t>Томский государственный педагогический университет</t>
  </si>
  <si>
    <t>1027000903401</t>
  </si>
  <si>
    <t>8 (3822) 311-411</t>
  </si>
  <si>
    <t>pktspu@tspu.ru</t>
  </si>
  <si>
    <t>634061, Томск, Киевская, 60</t>
  </si>
  <si>
    <t>понедельник- пятница: 9:00-17:00, суббота и воскресенье: выходной</t>
  </si>
  <si>
    <t>Томский государственный университет систем управления и радиоэлектроники</t>
  </si>
  <si>
    <t>1027000867068</t>
  </si>
  <si>
    <t>634050, Томск, проспект Ленина, 40</t>
  </si>
  <si>
    <t>понедельник-пятница: 9:00-18:00 суббота: 10.00-15.00 воскресенье: выходной</t>
  </si>
  <si>
    <t>8(3822) 900-100</t>
  </si>
  <si>
    <t>postupi@tusur.ru</t>
  </si>
  <si>
    <t>Томский научный центр Сибирского отделения Российской академии наук</t>
  </si>
  <si>
    <t>1027000870863</t>
  </si>
  <si>
    <t>634055, Томск, пр. Академический, 10/4</t>
  </si>
  <si>
    <t>понедельник-четверг: 9.00-17.00 пятница: 9.00-16.00 суббота, воскресенье - выходной</t>
  </si>
  <si>
    <t>+ 7 906 950 15 37</t>
  </si>
  <si>
    <t>evg@tpu.ru</t>
  </si>
  <si>
    <t>Томский национальный исследовательский медицинский центр Российской академии наук</t>
  </si>
  <si>
    <t>1027000861568</t>
  </si>
  <si>
    <t>634050, Томск, ул. Набережная реки Ушайки, 10</t>
  </si>
  <si>
    <t>Томский НИМЦ - понедельник - пятница: 9:00-13:00, 13:30-16:30, суббота и воскресенье: выходной Тюменский кардиологический научный центр - филиал Томского НИМЦ - понедельник - пятница: 8:00-16:30, суббота и воскресенье: выходной</t>
  </si>
  <si>
    <t>Томский НИМЦ - 8-3822-55-48-71 Тюменский кардиологический научный центр - филиал Томского НИМЦ - 8-904-495-98-08</t>
  </si>
  <si>
    <t>Томский НИМЦ - education@cardio-tomsk.ru Тюменский кардиологический научный центр - филиал Томского НИМЦ - education@infarkta.net</t>
  </si>
  <si>
    <t>Тувинский государственный университет</t>
  </si>
  <si>
    <t>1021700508719</t>
  </si>
  <si>
    <t>Республика Тыва</t>
  </si>
  <si>
    <t>Кызыл</t>
  </si>
  <si>
    <t>667000, Кызыл, ул. Ленина, д. 36</t>
  </si>
  <si>
    <t>понедельник-пятница: 9:00-18:00 суббота: 9:00-13:00 и воскресенье: выходной</t>
  </si>
  <si>
    <t>+7 (39422) 2-18-92</t>
  </si>
  <si>
    <t>abiturient@tuvsu.ru</t>
  </si>
  <si>
    <t>Тувинский институт комплексного освоения природных ресурсов Сибирского отделения Российской академии наук</t>
  </si>
  <si>
    <t>1021700517024</t>
  </si>
  <si>
    <t>667007, Кызыл, ул Интернациональная,, 117А</t>
  </si>
  <si>
    <t>Тульская духовная семинария</t>
  </si>
  <si>
    <t>1037100000871</t>
  </si>
  <si>
    <t>+7 (4872) 31-29-19</t>
  </si>
  <si>
    <t>300045, Тула, Староникитская, 75</t>
  </si>
  <si>
    <t>info@tulds.ru</t>
  </si>
  <si>
    <t>Тульский государственный педагогический университет им. Л.Н. Толстого</t>
  </si>
  <si>
    <t>1027100979674</t>
  </si>
  <si>
    <t>300026, Тула, проспект Ленина, 125</t>
  </si>
  <si>
    <t>+7 (4872) 77-03-68</t>
  </si>
  <si>
    <t>entrance@tolstovsky.ru</t>
  </si>
  <si>
    <t>Тульский государственный университет</t>
  </si>
  <si>
    <t>1027100753360</t>
  </si>
  <si>
    <t>300012, Тула, Проспект Ленина, 92</t>
  </si>
  <si>
    <t>понедельник-четверг:8:30-17:30 пятница: 8:30-16:30 суббота и воскресенье: выходной</t>
  </si>
  <si>
    <t>8 (4872) 33-23-32</t>
  </si>
  <si>
    <t>priem@tsu.tula.ru</t>
  </si>
  <si>
    <t>Тульский институт управления и бизнеса имени Никиты Демидовича Демидова</t>
  </si>
  <si>
    <t>1037100331652</t>
  </si>
  <si>
    <t>300028, Тула, Болдина, 98б</t>
  </si>
  <si>
    <t>понедельник-четверг: 9:00-18:00 пятница: 9:00-17:00 суббота и воскресенье выходной</t>
  </si>
  <si>
    <t>8(4872)56-38-82</t>
  </si>
  <si>
    <t>priem_com@mail.ru</t>
  </si>
  <si>
    <t>Тюменский государственный институт культуры</t>
  </si>
  <si>
    <t>1027200861214</t>
  </si>
  <si>
    <t>8-3452-29-70-86</t>
  </si>
  <si>
    <t>abiturient_tgaki@list.ru</t>
  </si>
  <si>
    <t>Тюмень</t>
  </si>
  <si>
    <t>625003, Тюмень, Республики, 19</t>
  </si>
  <si>
    <t>понедельник-четверг: 9:00-18.00, пятница: 9:00-16:45 суббота и воскресенье: выходной</t>
  </si>
  <si>
    <t>Тюменский государственный медицинский университет Министерства здравоохранения Российской Федерации</t>
  </si>
  <si>
    <t>1027200835859</t>
  </si>
  <si>
    <t>625023, Тюмень, Одесская, 54</t>
  </si>
  <si>
    <t>Понедельник - пятница: 9:00 - 18:00 Суббота - 10:00 - 15:00</t>
  </si>
  <si>
    <t>+7 (3452) 69-07-50</t>
  </si>
  <si>
    <t>priem@tyumsmu.ru</t>
  </si>
  <si>
    <t>Тюменский государственный университет</t>
  </si>
  <si>
    <t>1027200780749</t>
  </si>
  <si>
    <t>625003, Тюмень, ул. Володарского, 6</t>
  </si>
  <si>
    <t>+7(919)923-92-82</t>
  </si>
  <si>
    <t>e.a.savchenko@utmn.ru</t>
  </si>
  <si>
    <t>Тюменский индустриальный университет</t>
  </si>
  <si>
    <t>1027200811483</t>
  </si>
  <si>
    <t>625000, Тюмень, Володарского, 38</t>
  </si>
  <si>
    <t>с 20.06 по 31.08 понедельник-четверг: 9:00-17:00 пятница: 9:00-16:00 суббота и воскресенье: выходной</t>
  </si>
  <si>
    <t>8(3452)283692</t>
  </si>
  <si>
    <t>priemcom@tyuiu.ru</t>
  </si>
  <si>
    <t>Удмуртский государственный аграрный университет</t>
  </si>
  <si>
    <t>1021801172370</t>
  </si>
  <si>
    <t>426069, Ижевск, Студенческая, 11</t>
  </si>
  <si>
    <t>ПН.-ПТ. с 8.30 до 17.00 (перерыв 12:00 - 12:30), суббота: 9.00 до 14:00, воскресенье: выходной</t>
  </si>
  <si>
    <t>+7 (3412) 59-24-95</t>
  </si>
  <si>
    <t>prk@udsau.ru</t>
  </si>
  <si>
    <t>Удмуртский государственный университет</t>
  </si>
  <si>
    <t>1021801503382</t>
  </si>
  <si>
    <t>prikom@udsu.ru</t>
  </si>
  <si>
    <t>426034, Ижевск, ул. Университетская, 1</t>
  </si>
  <si>
    <t>понедельник-пятница: 9:00-17:00, суббота 9:00-13:00, воскресенье: выходной</t>
  </si>
  <si>
    <t>+7(3412)916-199</t>
  </si>
  <si>
    <t>Удмуртский федеральный исследовательский центр Уральского отделения Российской академии наук</t>
  </si>
  <si>
    <t>1021801151481</t>
  </si>
  <si>
    <t>aspirant@udman.ru</t>
  </si>
  <si>
    <t>426067, Ижевск, Татьяны Барамзиной, 34</t>
  </si>
  <si>
    <t>понедельник-пятница: 9:00-17:00 (обеденный перерыв с 12-30 до 13-00); суббота и воскресенье: выходной</t>
  </si>
  <si>
    <t>8(3412)430032</t>
  </si>
  <si>
    <t>Ульяновский государственный аграрный университет имени П.А. Столыпина</t>
  </si>
  <si>
    <t>1027301181940</t>
  </si>
  <si>
    <t>Ульяновская область</t>
  </si>
  <si>
    <t>priymkom.ulsau@mail.ru</t>
  </si>
  <si>
    <t>Ульяновск</t>
  </si>
  <si>
    <t>432017, Ульяновск, бульвар Новый Венец, 1</t>
  </si>
  <si>
    <t>понедельник-пятница: 8:30-15:30, суббота: 8:30-12:00, воскресенье: выходной</t>
  </si>
  <si>
    <t>8 (8422) 55-95-22; 8 (84231) 5-12-75</t>
  </si>
  <si>
    <t>Ульяновский государственный педагогический университет имени И. Н. Ульянова</t>
  </si>
  <si>
    <t>1027301168916</t>
  </si>
  <si>
    <t>pricom@ulspu.ru</t>
  </si>
  <si>
    <t>432071, Ульяновск, площадь Ленина, 4/5</t>
  </si>
  <si>
    <t>понедельник - пятница 9:00-17:00 суббота 9:00-14:00 воскресенье выходной</t>
  </si>
  <si>
    <t>88422441008</t>
  </si>
  <si>
    <t>Ульяновский государственный технический университет</t>
  </si>
  <si>
    <t>1027301160226</t>
  </si>
  <si>
    <t>432027, Ульяновск, Северный венец, 32</t>
  </si>
  <si>
    <t>+7 (8422) 43-05-05</t>
  </si>
  <si>
    <t>pk@ulstu.ru</t>
  </si>
  <si>
    <t>Ульяновский государственный университет</t>
  </si>
  <si>
    <t>1027301162965</t>
  </si>
  <si>
    <t>432017, Ульяновск, Л. Толстого, 42</t>
  </si>
  <si>
    <t>88422412090</t>
  </si>
  <si>
    <t>pk@ulsu.ru</t>
  </si>
  <si>
    <t>Ульяновский институт гражданской авиации имени Главного маршала авиации Б.П. Бугаева</t>
  </si>
  <si>
    <t>1027301176627</t>
  </si>
  <si>
    <t>432071, Ульяновск, Можайского, 8/8</t>
  </si>
  <si>
    <t>понедельник-четверг: 8.00-12.00, 12.45-17.00; пятница: 8.00-12.00, 12.45-15.45; суббота и воскресенье: выходной</t>
  </si>
  <si>
    <t>+78422398106</t>
  </si>
  <si>
    <t>prkom@mail.ru</t>
  </si>
  <si>
    <t>Универсальный Университет</t>
  </si>
  <si>
    <t>1197700010518</t>
  </si>
  <si>
    <t>105120, Москва, Нижняя Сыромятническая, 10</t>
  </si>
  <si>
    <t>понедельник-пятница 10:00-19:00, суббота и воскресенье: выходной</t>
  </si>
  <si>
    <t>8 495 640-30-92</t>
  </si>
  <si>
    <t>admission@u.university</t>
  </si>
  <si>
    <t>Университет «Дубна»</t>
  </si>
  <si>
    <t>1025001421026</t>
  </si>
  <si>
    <t>Дубна</t>
  </si>
  <si>
    <t>141982, Дубна, Университетская, 19</t>
  </si>
  <si>
    <t>Понедельник-пятница: 09:00-18:00 Суббота и воскресенье: выходной</t>
  </si>
  <si>
    <t>7 (496) 216-27-27</t>
  </si>
  <si>
    <t>dovus@uni-dubna.ru</t>
  </si>
  <si>
    <t>Университет «Реавиз»</t>
  </si>
  <si>
    <t>1156313026539</t>
  </si>
  <si>
    <t>198099, г.Санкт-Петербург, Калинина, 8 к. 2</t>
  </si>
  <si>
    <t>Понедельник-пятница: 10:00-17:00, суббота: 10.00-15.000</t>
  </si>
  <si>
    <t>88006002400</t>
  </si>
  <si>
    <t>priem@spbreaviz.ru</t>
  </si>
  <si>
    <t>УНИВЕРСИТЕТ БРИКС (ЮНИБРИКС)</t>
  </si>
  <si>
    <t>1157700016319</t>
  </si>
  <si>
    <t>понедельник-пятница: 9:00-19:00 суббота-воскресенье: 9:00-18:00</t>
  </si>
  <si>
    <t>+74993227755</t>
  </si>
  <si>
    <t>office@unibrics.ru</t>
  </si>
  <si>
    <t>Университет Иннополис</t>
  </si>
  <si>
    <t>1121600006142</t>
  </si>
  <si>
    <t>Иннополис</t>
  </si>
  <si>
    <t>420500, Иннополис, Университетская, 1</t>
  </si>
  <si>
    <t>Понедельник-пятница: 09:00 -17:00</t>
  </si>
  <si>
    <t>+7 (843) 203-92-53 (доб.113)</t>
  </si>
  <si>
    <t>admissions@innopolis.ru</t>
  </si>
  <si>
    <t>Университет ИТ ХАБ</t>
  </si>
  <si>
    <t>1257700014362</t>
  </si>
  <si>
    <t>115093, Москва, Дубининская, 96</t>
  </si>
  <si>
    <t>понедельник - пятница: 9:00-19:00, суббота: 9:00-16:00</t>
  </si>
  <si>
    <t>8-499-350-42-97</t>
  </si>
  <si>
    <t>info@ithub.ru</t>
  </si>
  <si>
    <t>Университет мировых цивилизаций имени В.В. Жириновского</t>
  </si>
  <si>
    <t>1027739349329</t>
  </si>
  <si>
    <t>119049, Москва, Ленинский проспект, 1/2</t>
  </si>
  <si>
    <t>8 (495) 632-17-70</t>
  </si>
  <si>
    <t>priem@uwc-i.ru</t>
  </si>
  <si>
    <t>Университет при Межпарламентской Ассамблее ЕврАзЭС</t>
  </si>
  <si>
    <t>1127800008610</t>
  </si>
  <si>
    <t>194044, Санкт-Петербург, Смолячкова, 14</t>
  </si>
  <si>
    <t>понедельник-пятница: 10:00-20.00 суббота: 11.00 - 16.00, воскресенье: выходной</t>
  </si>
  <si>
    <t>+78126408000</t>
  </si>
  <si>
    <t>miep.priem@mail.ru</t>
  </si>
  <si>
    <t>Университет управления «ТИСБИ»</t>
  </si>
  <si>
    <t>1021602857605</t>
  </si>
  <si>
    <t>abiturient@tisbi.ru</t>
  </si>
  <si>
    <t>420012, Казань, Муштари, 13</t>
  </si>
  <si>
    <t>+7 917 222-09-60</t>
  </si>
  <si>
    <t>Университет управления и инновационных технологий</t>
  </si>
  <si>
    <t>1027739715310</t>
  </si>
  <si>
    <t>kancuuit@mail.ru</t>
  </si>
  <si>
    <t>Университет экономики и управления</t>
  </si>
  <si>
    <t>1159102033122</t>
  </si>
  <si>
    <t>mail@mshvalev.ru</t>
  </si>
  <si>
    <t>295021, Симферополь, Крымской Правды, 4</t>
  </si>
  <si>
    <t>Понедельник-пятница с 8:30-17:00, суббота-воскресенье выходной</t>
  </si>
  <si>
    <t>+79785552295</t>
  </si>
  <si>
    <t>Уральская государственная консерватория имени М.П. Мусоргского</t>
  </si>
  <si>
    <t>1026605251375</t>
  </si>
  <si>
    <t>620014, Екатеринбург, проспект Ленина, 26</t>
  </si>
  <si>
    <t>понедельник-четверг: 10:00-16:30 пятница: 10:00-16:30 суббота и воскресенье: выходной</t>
  </si>
  <si>
    <t>+73433716649</t>
  </si>
  <si>
    <t>priem@uralconsv.org</t>
  </si>
  <si>
    <t>Уральский государственный аграрный университет</t>
  </si>
  <si>
    <t>1036603485005</t>
  </si>
  <si>
    <t>ЕКАТЕРИНБУРГ</t>
  </si>
  <si>
    <t>620075, ЕКАТЕРИНБУРГ, КАРЛА ЛИБКНЕХТА, 42</t>
  </si>
  <si>
    <t>понедельник-четверг: 9:00-18:00; пятница: 9:00-16:45; суббота и воскресенье: выходной</t>
  </si>
  <si>
    <t>+7 (343) 350-58-94</t>
  </si>
  <si>
    <t>oops@urgau.ru</t>
  </si>
  <si>
    <t>Уральский государственный архитектурно-художественный университет имени Н.С. Алфёрова</t>
  </si>
  <si>
    <t>1026604940163</t>
  </si>
  <si>
    <t>620075, Екатеринбург, ул. Карла Либкнехта, 23</t>
  </si>
  <si>
    <t>Понедельник-пятница: с 9:00 до 17:00 суббота и воскресенье: выходной</t>
  </si>
  <si>
    <t>+7 (343) 371-94-90</t>
  </si>
  <si>
    <t>priem@usaaa.ru</t>
  </si>
  <si>
    <t>Уральский государственный горный университет</t>
  </si>
  <si>
    <t>1036603993777</t>
  </si>
  <si>
    <t>620144, Екатеринбург, ул. Куйбышева, 30</t>
  </si>
  <si>
    <t>Понедельник-пятница: 09.00-18.00 суббота:09.00-15.00 воскресенье: выходной</t>
  </si>
  <si>
    <t>8(343)2830606</t>
  </si>
  <si>
    <t>pk@m.ursmu.ru</t>
  </si>
  <si>
    <t>Уральский государственный лесотехнический университет</t>
  </si>
  <si>
    <t>1026605426814</t>
  </si>
  <si>
    <t>620100, Екатеринбург, Сибирский тракт, 37</t>
  </si>
  <si>
    <t>Понедельник-четверг: 9:00-17:00 пятница: 9:00-16:30 суббота и воскресенье: выходной</t>
  </si>
  <si>
    <t>+7 (343) 221-22-00</t>
  </si>
  <si>
    <t>pkusfeu@yandex.ru</t>
  </si>
  <si>
    <t>Уральский государственный медицинский университет Министерства здравоохранения Российской Федерации</t>
  </si>
  <si>
    <t>1036602643990</t>
  </si>
  <si>
    <t>620028, Екатеринбург, Репина, 3</t>
  </si>
  <si>
    <t>понедельник-пятница: 9:00 - 18:00; суббота: 9:00 - 15:00; воскресенье - выходной</t>
  </si>
  <si>
    <t>+7(922) 18 99 934</t>
  </si>
  <si>
    <t>priem@usma.ru</t>
  </si>
  <si>
    <t>Уральский государственный педагогический университет</t>
  </si>
  <si>
    <t>1036604787603</t>
  </si>
  <si>
    <t>priem@uspu.ru</t>
  </si>
  <si>
    <t>620091, Екатеринбург, Проспект Космонавтов, 26</t>
  </si>
  <si>
    <t>+73433838438</t>
  </si>
  <si>
    <t>Уральский государственный университет путей сообщения</t>
  </si>
  <si>
    <t>1026602950065</t>
  </si>
  <si>
    <t>620034, Екатеринбург, Колмогорова, 66</t>
  </si>
  <si>
    <t>понедельник-суббота: 9.00-17.00</t>
  </si>
  <si>
    <t>8(343)221-25-25</t>
  </si>
  <si>
    <t>abitur@usurt.ru</t>
  </si>
  <si>
    <t>Уральский государственный университет физической культуры</t>
  </si>
  <si>
    <t>1027402926484</t>
  </si>
  <si>
    <t>454091, Челябинск, Орджоникидзе, 1</t>
  </si>
  <si>
    <t>Понедельник - пятница: 9:00-17:00, суббота: 10:00-14:00, воскресенье: выходной</t>
  </si>
  <si>
    <t>8 (351) 217-04-47</t>
  </si>
  <si>
    <t>abit@uralgufk.ru</t>
  </si>
  <si>
    <t>Уральский государственный экономический университет</t>
  </si>
  <si>
    <t>1026605233753</t>
  </si>
  <si>
    <t>620144, Екатеринбург, 8 Марта/ Народной Воли, 62/45</t>
  </si>
  <si>
    <t>понедельник-четверг: 9:00-17:00 пятница: 9:00-16:00 суббота: 9:00-13:00 воскресенье: выходной</t>
  </si>
  <si>
    <t>+7 (343) 283-01-01</t>
  </si>
  <si>
    <t>pr-com@usue.ru</t>
  </si>
  <si>
    <t>Уральский государственный юридический университет имени В.Ф. Яковлева</t>
  </si>
  <si>
    <t>1026604932860</t>
  </si>
  <si>
    <t>pk@usla.ru</t>
  </si>
  <si>
    <t>620137, Екатеринбург, ул. Комсомольская, 21</t>
  </si>
  <si>
    <t>+7(343)374-40-33</t>
  </si>
  <si>
    <t>Уральский институт Государственной противопожарной службы Министерства Российской Федерации по делам гражданской обороны, чрезвычайным ситуациям и ликвидации последствий стихийных бедствий</t>
  </si>
  <si>
    <t>1057747900143</t>
  </si>
  <si>
    <t>620062, Екатеринбург, Мира, 22</t>
  </si>
  <si>
    <t>9:00-17:00 понедельник-четверг: 9:00-16:00 пятница: 9:00-14:00 суббота и воскресенье: выходной</t>
  </si>
  <si>
    <t>8-912-050-2670</t>
  </si>
  <si>
    <t>uigps@uigps.ru</t>
  </si>
  <si>
    <t>Уральский институт фондового рынка</t>
  </si>
  <si>
    <t>1169600002120</t>
  </si>
  <si>
    <t>620032, Екатеринбург, Сибирский тракт, 35</t>
  </si>
  <si>
    <t>8-800-201-60-98</t>
  </si>
  <si>
    <t>pk_uifr@mail.ru</t>
  </si>
  <si>
    <t>Уральский научно-исследовательский институт охраны материнства и младенчества</t>
  </si>
  <si>
    <t>1026602333944</t>
  </si>
  <si>
    <t>620028, Екатеринбург, Репина, 1</t>
  </si>
  <si>
    <t>понедельник-четверг: 9:00-15:30 пятница: 9:00-14:30 суббота и воскресенье: выходной</t>
  </si>
  <si>
    <t>3433718911</t>
  </si>
  <si>
    <t>ordinatura@niiomm.ru</t>
  </si>
  <si>
    <t>Уральский федеральный аграрный научно-исследовательский центр Уральского отделения Российской академии наук</t>
  </si>
  <si>
    <t>1036603988442</t>
  </si>
  <si>
    <t>marafon.86@list.ru</t>
  </si>
  <si>
    <t>620142, Екатеринбург, Белинского, 112</t>
  </si>
  <si>
    <t>понедельник-пятница: 9:00-15:00, суббота и воскресенье: выходной</t>
  </si>
  <si>
    <t>+7-343-257-00-02</t>
  </si>
  <si>
    <t>Уральский федеральный университет имени первого Президента России Б.Н. Ельцина</t>
  </si>
  <si>
    <t>1026604939855</t>
  </si>
  <si>
    <t>620002, Екатеринбург, ул. Мира, 19</t>
  </si>
  <si>
    <t>+7 (343) 375-44-74</t>
  </si>
  <si>
    <t>gosuslugi@urfu.ru</t>
  </si>
  <si>
    <t>Уфимский государственный институт искусств имени Загира Исмагилова</t>
  </si>
  <si>
    <t>1020202560212</t>
  </si>
  <si>
    <t>450008, Уфа, Ленина, 14</t>
  </si>
  <si>
    <t>(347) 276-19-36</t>
  </si>
  <si>
    <t>ugiipk@yandex.ru</t>
  </si>
  <si>
    <t>Уфимский государственный нефтяной технический университет</t>
  </si>
  <si>
    <t>1020203079016</t>
  </si>
  <si>
    <t>pkugntu@mail.ru</t>
  </si>
  <si>
    <t>450064, Уфа, Ул. Космонавтов, 1</t>
  </si>
  <si>
    <t>понедельник-пятница: 9:00-20:00, суббота: 9:00-14:00 (в летний период)</t>
  </si>
  <si>
    <t>+7(347)2420859</t>
  </si>
  <si>
    <t>Уфимский научно-исследовательский институт медицины труда и экологии человека</t>
  </si>
  <si>
    <t>1030203900902</t>
  </si>
  <si>
    <t>edumedufa@yandex.ru</t>
  </si>
  <si>
    <t>450106, Уфа, Степана Кувыкина, 94</t>
  </si>
  <si>
    <t>Понедельник-пятница: 8:30-17:00 суббота и воскресенье: выходной</t>
  </si>
  <si>
    <t>+73472555266</t>
  </si>
  <si>
    <t>Уфимский университет науки и технологий</t>
  </si>
  <si>
    <t>1220200037474</t>
  </si>
  <si>
    <t>450076, Уфа, ЗАКИ ВАЛИДИ, 32</t>
  </si>
  <si>
    <t>понедельник-четверг: 9:00-18:00 пятница: 9:00-16:30 суббота и воскресенье: выходной обед:13:00-13:45</t>
  </si>
  <si>
    <t>+79083504984</t>
  </si>
  <si>
    <t>abiturient@uust.ru</t>
  </si>
  <si>
    <t>Уфимский федеральный исследовательский центр Российской академии наук</t>
  </si>
  <si>
    <t>1030204207582</t>
  </si>
  <si>
    <t>aspirantura@anrb.ru</t>
  </si>
  <si>
    <t>450054, Уфа, проспект Октября, 71</t>
  </si>
  <si>
    <t>понедельник - четверг: 9:00-17:00 пятница: 9:00-15:00 суббота и воскресенье: выходной</t>
  </si>
  <si>
    <t>+73472788415</t>
  </si>
  <si>
    <t>Ухтинский государственный технический университет</t>
  </si>
  <si>
    <t>1021100736326</t>
  </si>
  <si>
    <t>nkrivosheeva@ugtu.net</t>
  </si>
  <si>
    <t>Ухта</t>
  </si>
  <si>
    <t>169300, Ухта, Первомайская, 13</t>
  </si>
  <si>
    <t>понедельник-пятница: 8.30-16.30 суббота: 8.30-12.30 воскресенье: выходной</t>
  </si>
  <si>
    <t>8 8216 774 406</t>
  </si>
  <si>
    <t>ФГБОУ ВО «Казанская государственная консерватория имени Н.Г. Жиганова»</t>
  </si>
  <si>
    <t>1021602839610</t>
  </si>
  <si>
    <t>priem@kazancons.ru</t>
  </si>
  <si>
    <t>420015, Казань, улица Большая Красная, д. 38, 38</t>
  </si>
  <si>
    <t>Понедельник - пятница: с 9:00 до 17:00 Суббота: с 10:00 до 14:00 Воскресенье: выходной</t>
  </si>
  <si>
    <t>(843) 238-52-84</t>
  </si>
  <si>
    <t>ФГБОУ ВО Великолукская ГСХА</t>
  </si>
  <si>
    <t>1026000903720</t>
  </si>
  <si>
    <t>cno@vgsa.ru</t>
  </si>
  <si>
    <t>182112, Великие Луки, Ленина, 2</t>
  </si>
  <si>
    <t>+78115373179</t>
  </si>
  <si>
    <t>ФГБУ НМИЦ ДГОИ имени Дмитрия Рогачева Минздрава России</t>
  </si>
  <si>
    <t>1027739507212</t>
  </si>
  <si>
    <t>8(495)287-65-70 (доб. 2264)</t>
  </si>
  <si>
    <t>117198, москва, САМОРЫ МАШЕЛА, 1</t>
  </si>
  <si>
    <t>понедельник-пятница: 9:00-18:00</t>
  </si>
  <si>
    <t>Priem_DGOI@dgoi.ru</t>
  </si>
  <si>
    <t>Министерство труда и социальной защиты Российской Федерации (Минтруд России)</t>
  </si>
  <si>
    <t>Федеральное бюро медико-социальной экспертизы</t>
  </si>
  <si>
    <t>1047743057493</t>
  </si>
  <si>
    <t>kuzina@fbmse.ru</t>
  </si>
  <si>
    <t>127486, Москва, Ивана Сусанина, 3</t>
  </si>
  <si>
    <t>понедельник - четверг: 9.00-17.00, пятница: 9.00-16.00, суббота и воскресенье: выходной</t>
  </si>
  <si>
    <t>+7-499-487-57-11 доб.93610</t>
  </si>
  <si>
    <t>Федеральное государственное бюджетное научное учреждение "Российский научно-исследовательский институт проблем мелиорации"</t>
  </si>
  <si>
    <t>1026102230692</t>
  </si>
  <si>
    <t>aspirant_rosniipm@mail.ru</t>
  </si>
  <si>
    <t>Новочеркасск</t>
  </si>
  <si>
    <t>346421, Новочеркасск, Баклановский проспект, 190</t>
  </si>
  <si>
    <t>понедельник-суббота: 8.00-18.00, перерыв 12.00-12.48, выходной воскресенье</t>
  </si>
  <si>
    <t>+78635266500</t>
  </si>
  <si>
    <t>Федеральное казённое учреждение науки "Российский научно-исследовательский противочумный институт "Микроб" Федеральной службы по надзору с сфере защиты прав потребителей и благополучия человека.</t>
  </si>
  <si>
    <t>1026402676112</t>
  </si>
  <si>
    <t>rusrapi@microbe.ru</t>
  </si>
  <si>
    <t>410005, Саратов, Университетская , 46</t>
  </si>
  <si>
    <t>понедельник - пятница: 8:30-17:30, суббота, воскресенье: выходной</t>
  </si>
  <si>
    <t>+78452262131</t>
  </si>
  <si>
    <t>Федеральный аграрный научный центр Республики Дагестан</t>
  </si>
  <si>
    <t>1020502457788</t>
  </si>
  <si>
    <t>367014, Махачкала, Мкр.Научный городок, ул. Абдуразака Шахбанова, 30</t>
  </si>
  <si>
    <t>понедельник-четверг: 9:00-16:00 пятница: 9:00-16:00</t>
  </si>
  <si>
    <t>+7 (8722) 60-07-26 8 (929) 872-00-84</t>
  </si>
  <si>
    <t>lenusik19842310@mail.ru niva1956@mail.ru</t>
  </si>
  <si>
    <t>Федеральный аграрный научный центр Северо-Востока имени Н.В.Рудницкого</t>
  </si>
  <si>
    <t>1034316511437</t>
  </si>
  <si>
    <t>610007, Киров, Ленина, 166</t>
  </si>
  <si>
    <t>понедельник-четверг: 8:00-17:00 пятница: 8:00-17.00, обед 12:00-13:00, суббота и воскресенье: выходной</t>
  </si>
  <si>
    <t>88332-331003</t>
  </si>
  <si>
    <t>aspirantura@fanc-sv.ru</t>
  </si>
  <si>
    <t>Федеральный аграрный научный центр Юго-Востока</t>
  </si>
  <si>
    <t>1026403055975</t>
  </si>
  <si>
    <t>410010, Саратов, Тулайкова, 7</t>
  </si>
  <si>
    <t>понедельник-четверг: 8.00-17.00 пятница: 8.00-16.00 суббота и воскресенье: выходной</t>
  </si>
  <si>
    <t>8-927-101-97-06</t>
  </si>
  <si>
    <t>ariser@yandex.ru</t>
  </si>
  <si>
    <t>Федеральный институт промышленной собственности</t>
  </si>
  <si>
    <t>1027739154343</t>
  </si>
  <si>
    <t>125993, Москва, Бережковская набережная, 30</t>
  </si>
  <si>
    <t>Понедельник-четверг: 9:30-17:00, пятница: 9:30-16:00, суббота-воскресенье: выходной</t>
  </si>
  <si>
    <t>+ 7 (499) 243-73-91, доб. 21-70</t>
  </si>
  <si>
    <t>anna.masaltseva@rupto.ru</t>
  </si>
  <si>
    <t>Федеральный исследовательский центр «Институт биологии южных морей имени А.О.Ковалевского РАН»</t>
  </si>
  <si>
    <t>1159204018478</t>
  </si>
  <si>
    <t>aspirant@ibss-ras.ru</t>
  </si>
  <si>
    <t>299011, Севастополь, проспект Нахимова, 2</t>
  </si>
  <si>
    <t>понедельник-четверг: 9:00-17:00 пятница: 9:00-16:00 суббота воскресенье: выходной</t>
  </si>
  <si>
    <t>+7(8692)221-377</t>
  </si>
  <si>
    <t>Федеральный исследовательский центр «Институт катализа им. Г.К. Борескова Сибирского отделения Российской академии наук»</t>
  </si>
  <si>
    <t>1025403659126</t>
  </si>
  <si>
    <t>630090, Новосибирск, Лаврентьева, 5</t>
  </si>
  <si>
    <t>Пн.-чт. 09:30 - 13:00, 14:00 - 17:30 Пт. 09:30 - 13:00, 14:00 – 16:30 суббота и воскресенье: выходной</t>
  </si>
  <si>
    <t>+7 (383) 326-96-12</t>
  </si>
  <si>
    <t>rnv@catalysis.ru</t>
  </si>
  <si>
    <t>Федеральный исследовательский центр «Институт общей физики им. А.М. Прохорова Российской академии наук»</t>
  </si>
  <si>
    <t>1027700378595</t>
  </si>
  <si>
    <t>119991, МОСКВА, УЛИЦА ВАВИЛОВА, 38</t>
  </si>
  <si>
    <t>понедельник-пятница: 11:00-16:00 пятница: 11:00-15:00 перерыв 12:00-12.45 суббота и воскресенье: выходной</t>
  </si>
  <si>
    <t>8(499)5038799</t>
  </si>
  <si>
    <t>head.aspirantura@gpi.ru</t>
  </si>
  <si>
    <t>Федеральный исследовательский центр «Информатика и управление»</t>
  </si>
  <si>
    <t>1027739314030</t>
  </si>
  <si>
    <t>mbykova@frccsc.ru</t>
  </si>
  <si>
    <t>119333, Moscow, Vavilova str., 44, build 2, 44</t>
  </si>
  <si>
    <t>понедельник: 14.00-17.00 среда: 14.00-17.00 пятница: 14.00-16.00</t>
  </si>
  <si>
    <t>8 (499) 135-20-44</t>
  </si>
  <si>
    <t>Федеральный исследовательский центр «Казанский научный центр Российской академии наук»</t>
  </si>
  <si>
    <t>1021602842359</t>
  </si>
  <si>
    <t>+(843) 2319017</t>
  </si>
  <si>
    <t>g.yusupova@knc.ru</t>
  </si>
  <si>
    <t>420111, Казань, Лобачевского, 2/31</t>
  </si>
  <si>
    <t>понедельник-четверг: 10:00-16:30 суббота и воскресенье: выходной</t>
  </si>
  <si>
    <t>Федеральный исследовательский центр «Кольский научный центр Российской академии наук»</t>
  </si>
  <si>
    <t>1025100508333</t>
  </si>
  <si>
    <t>Апатиты</t>
  </si>
  <si>
    <t>184209, Апатиты, Ферсмана, 14</t>
  </si>
  <si>
    <t>понедельник-пятница: 14:00-18:00; суббота, воскресенье: выходной</t>
  </si>
  <si>
    <t>8 (81555) 7-94-96</t>
  </si>
  <si>
    <t>priem@ksc.ru</t>
  </si>
  <si>
    <t>Федеральный исследовательский центр «Коми научный центр Уральского отделения Российской академии наук»</t>
  </si>
  <si>
    <t>1021100511332</t>
  </si>
  <si>
    <t>167982, Сыктывкар, Коммунистическая, 24</t>
  </si>
  <si>
    <t>понедельник-четверг:8:30-17:00, пятница:8:30-12:00, суббота и воскресенье:выходной</t>
  </si>
  <si>
    <t>(8212)-24-21-97</t>
  </si>
  <si>
    <t>aspirant@frc.komisc.ru</t>
  </si>
  <si>
    <t>Федеральный исследовательский центр «Красноярский научный центр Сибирского отделения Российской академии наук»</t>
  </si>
  <si>
    <t>1022402133698</t>
  </si>
  <si>
    <t>660036, Красноярск, Академгородок, 50</t>
  </si>
  <si>
    <t>понедельник-пятница: 10:00-13.00, 14.00-17:00, суббота и воскресенье: выходной</t>
  </si>
  <si>
    <t>8(391) 290-55-95</t>
  </si>
  <si>
    <t>aspirantura@ksc.krasn.ru</t>
  </si>
  <si>
    <t>Федеральный исследовательский центр «Немчиновка»</t>
  </si>
  <si>
    <t>1025004063061</t>
  </si>
  <si>
    <t>рп.Новоивановское</t>
  </si>
  <si>
    <t>143026, рп.Новоивановское, Агрохимиков, д 6</t>
  </si>
  <si>
    <t>Понедельник 10:00-16:00, перерыв 12:30-13:30 Среда 10:00-16:00, перерыв 12:30-13:30</t>
  </si>
  <si>
    <t>+74952806500, доб.05</t>
  </si>
  <si>
    <t>ficnemchinovka@yandex.ru</t>
  </si>
  <si>
    <t>Федеральный исследовательский центр «Пущинский научный центр биологических исследований Российской академии наук»</t>
  </si>
  <si>
    <t>1025007768983</t>
  </si>
  <si>
    <t>142290, Пущино, проспект Науки, 3</t>
  </si>
  <si>
    <t>понедельник, среда, пятница: 10:00-13:00, вторник, четверг 14:00-17:00</t>
  </si>
  <si>
    <t>+7(4967) 73-31-84 доб. 112</t>
  </si>
  <si>
    <t>aspirantura@pbcras.ru</t>
  </si>
  <si>
    <t>Федеральный исследовательский центр «Саратовский научный центр Российской академии наук»</t>
  </si>
  <si>
    <t>1026403345781</t>
  </si>
  <si>
    <t>г. Саратов</t>
  </si>
  <si>
    <t>410028, г. Саратов, Рабочая, 24</t>
  </si>
  <si>
    <t>понедельник-четверг: 10:00-15:00 пятница: 10:00-14:00 суббота и воскресенье: выходной</t>
  </si>
  <si>
    <t>+7 (8452) 22-10-42</t>
  </si>
  <si>
    <t>asp-FICSNC@yandex.ru</t>
  </si>
  <si>
    <t>Федеральный исследовательский центр «Субтропический научный центр Российской академии наук»</t>
  </si>
  <si>
    <t>1022302831154</t>
  </si>
  <si>
    <t>aspirantura@subtropras.ru</t>
  </si>
  <si>
    <t>354002, Сочи, Яна Фабрициуса, 2/28</t>
  </si>
  <si>
    <t>Понедельник-пятница: 9-00 до 16-00; суббота и воскресенье: выходной</t>
  </si>
  <si>
    <t>8(862) 200-18-22</t>
  </si>
  <si>
    <t>Федеральный исследовательский центр «Фундаментальные основы биотехнологии» Российской академии наук</t>
  </si>
  <si>
    <t>1037700131633</t>
  </si>
  <si>
    <t>8(499)1353052</t>
  </si>
  <si>
    <t>aspirantura@fbras.ru</t>
  </si>
  <si>
    <t>понедельник-пятница: 11:00-16:00 перерыв: 13:00-13:30 суббота и воскресенье: выходной</t>
  </si>
  <si>
    <t>Федеральный исследовательский центр «Якутский научный центр Сибирского отделения Российской академии наук»</t>
  </si>
  <si>
    <t>1021401060306</t>
  </si>
  <si>
    <t>677000, Якутск, Петровского, 2</t>
  </si>
  <si>
    <t>понедельник-пятница: 9:00-17:00, время перерыва: 13:00-14:00 суббота и воскресенье: выходной</t>
  </si>
  <si>
    <t>+74112390509</t>
  </si>
  <si>
    <t>priem_aspirantura@prez.ysn.ru</t>
  </si>
  <si>
    <t>Федеральный исследовательский центр вирусологии и микробиологии</t>
  </si>
  <si>
    <t>1023301104595</t>
  </si>
  <si>
    <t>Вольгинский</t>
  </si>
  <si>
    <t>601125, Вольгинский, Академика Бакулова, нет</t>
  </si>
  <si>
    <t>Федеральный исследовательский центр Всероссийский институт генетических ресурсов растений имени Н. И. Вавилова</t>
  </si>
  <si>
    <t>1027810308206</t>
  </si>
  <si>
    <t>190000, Санкт-Петербург, Большая морская, 42, 44</t>
  </si>
  <si>
    <t>понедельник - четверг: 10:00 - 17:00, пятница: 10:00 - 16:00, суббота и воскресение: выходной</t>
  </si>
  <si>
    <t>8(812)3144848</t>
  </si>
  <si>
    <t>aspirantura@vir.nw.ru</t>
  </si>
  <si>
    <t>Федеральный исследовательский центр животноводства – ВИЖ имени академика Л.К. Эрнста</t>
  </si>
  <si>
    <t>1035011450913</t>
  </si>
  <si>
    <t>Дубровицы</t>
  </si>
  <si>
    <t>142132, Дубровицы, нет, 60</t>
  </si>
  <si>
    <t>вторник, четверг: 9.00-13.00</t>
  </si>
  <si>
    <t>8(496)765-13-19</t>
  </si>
  <si>
    <t>asp@vij.ru</t>
  </si>
  <si>
    <t>Федеральный исследовательский центр Институт прикладной математики им. М.В. Келдыша Российской академии наук</t>
  </si>
  <si>
    <t>1037739115787</t>
  </si>
  <si>
    <t>125047, Москва, Миусская пл., 4</t>
  </si>
  <si>
    <t>понедельник - четверг: 11:00-16:00, пятница: 11:00 - 14:00, суббота и воскресенье: выходной</t>
  </si>
  <si>
    <t>84992207221</t>
  </si>
  <si>
    <t>aspirantura@keldysh.ru</t>
  </si>
  <si>
    <t>Федеральный исследовательский центр Институт прикладной физики им. А.В. Гапонова-Грехова Российской Академии наук</t>
  </si>
  <si>
    <t>1025203020193</t>
  </si>
  <si>
    <t>603950, Нижний Новгород, Ульянова, 46</t>
  </si>
  <si>
    <t>понедельник-четверг: 9:00-17:00; пятница: 9:00-16:15; суббота и воскресенье: выходной</t>
  </si>
  <si>
    <t>+7 (831) 436-66-69</t>
  </si>
  <si>
    <t>priem@ipfran.ru</t>
  </si>
  <si>
    <t>Федеральный исследовательский центр Институт цитологии и генетики Сибирского отделения Российской академии наук</t>
  </si>
  <si>
    <t>1025403657410</t>
  </si>
  <si>
    <t>630090, Новосибирск, Пр-т Академика Лаврентьева, 10</t>
  </si>
  <si>
    <t>+7 (383) 363-49-63, доп. 8722, 8705</t>
  </si>
  <si>
    <t>AspiranturaICG@bionet.nsc.ru</t>
  </si>
  <si>
    <t>Федеральный исследовательский центр информационных и вычислительных технологий</t>
  </si>
  <si>
    <t>1025403650920</t>
  </si>
  <si>
    <t>понедельник-четверг: 10:00-17:00; пятница: 10:00-16:30; суббота и воскресенье: выходной</t>
  </si>
  <si>
    <t>+7-383-3349173</t>
  </si>
  <si>
    <t>ict@ict.nsc.ru</t>
  </si>
  <si>
    <t>Федеральный исследовательский центр картофеля имени А.Г. Лорха</t>
  </si>
  <si>
    <t>1035005005221</t>
  </si>
  <si>
    <t>140051, Красково, Лорха, 23</t>
  </si>
  <si>
    <t>понедельник-четверг: 9:00-16:30 пятница: 9:00-15:30 суббота и воскресенье: выходной</t>
  </si>
  <si>
    <t>+74986450303</t>
  </si>
  <si>
    <t>coordinazia@mail.ru</t>
  </si>
  <si>
    <t>Федеральный исследовательский центр комплексного изучения Арктики имени академика Н.П. Лаверова Уральского отделения Российской академии наук</t>
  </si>
  <si>
    <t>1032900004390</t>
  </si>
  <si>
    <t>8 (8182) 21-15-97</t>
  </si>
  <si>
    <t>163000, Архангельск, пр. Никольский, 20</t>
  </si>
  <si>
    <t>понедельник-четверг: 10:00-13:00 и 14:00-16:00 пятница: 10:00-13:00 суббота и воскресенье: выходной</t>
  </si>
  <si>
    <t>set@fciarctic.ru; tsaplina@fciarctic.ru</t>
  </si>
  <si>
    <t>Федеральный исследовательский центр оригинальных и перспективных биомедицинских и фармацевтических технологий</t>
  </si>
  <si>
    <t>1027739881179</t>
  </si>
  <si>
    <t>vasileva_ev@academpharm.ru</t>
  </si>
  <si>
    <t>понедельник-пятница: 9.00-17.45, суббота и воскресенье: выходной</t>
  </si>
  <si>
    <t>8(495)601-24-19</t>
  </si>
  <si>
    <t>Федеральный исследовательский центр питания, биотехнологии и безопасности пищи</t>
  </si>
  <si>
    <t>1027739311907</t>
  </si>
  <si>
    <t>8-495-916-02-57</t>
  </si>
  <si>
    <t>142242, Москва, Устьинский проезд, 2/14</t>
  </si>
  <si>
    <t>понедельник-четверг: 8:30-17:30 пятница: 8:30-17:00 суббота и воскресенье: выходной</t>
  </si>
  <si>
    <t>Priem@ion.ru</t>
  </si>
  <si>
    <t>Федеральный исследовательский центр проблем химической физики и медицинской химии Российской академии наук</t>
  </si>
  <si>
    <t>1035006100502</t>
  </si>
  <si>
    <t>142432, Черноголовка, проспект академика Семенова, 1</t>
  </si>
  <si>
    <t>понедельник-пятница: 10.00-16.00 суббота и воскресенье выходной</t>
  </si>
  <si>
    <t>+79265211199</t>
  </si>
  <si>
    <t>asp@icp.ac.ru</t>
  </si>
  <si>
    <t>Федеральный исследовательский центр Тюменский научный центр Сибирского отделения Российской академии наук</t>
  </si>
  <si>
    <t>1027200799471</t>
  </si>
  <si>
    <t>625026, Тюмень, Малыгина, 86</t>
  </si>
  <si>
    <t>понедельник-четверг: 10:00-12:00, 14:00-15:00; пятница: 10:00-12:00</t>
  </si>
  <si>
    <t>8-3452-68-87-51</t>
  </si>
  <si>
    <t>asp_t@tmnsc.ru</t>
  </si>
  <si>
    <t>Федеральный исследовательский центр угля и углехимии Сибирского отделения Российской академии наук</t>
  </si>
  <si>
    <t>1024200718739</t>
  </si>
  <si>
    <t>650000, Кемерово, просп. Советский, 18</t>
  </si>
  <si>
    <t>понедельник-четверг: 8:30-17:30 пятница: 9:00-15:00 суббота и воскресенье: выходной</t>
  </si>
  <si>
    <t>8(3842)74-22-43</t>
  </si>
  <si>
    <t>aspirantura.fitsuuh@mail.ru</t>
  </si>
  <si>
    <t>Федеральный исследовательский центр фундаментальной и трансляционной медицины</t>
  </si>
  <si>
    <t>1025403653538</t>
  </si>
  <si>
    <t>8-383-274-95-01</t>
  </si>
  <si>
    <t>sgovchinnikov@frcftm.ru</t>
  </si>
  <si>
    <t>НОВОСИБИРСК</t>
  </si>
  <si>
    <t>630117, НОВОСИБИРСК, ТИМАКОВА, 2</t>
  </si>
  <si>
    <t>понедельник-четверг: 9.00-17.00 пятница: 9.00-16.30 суббота и воскресенье: выходной</t>
  </si>
  <si>
    <t>Федеральный исследовательский центр химической физики им. Н.Н. Семенова Российской академии наук</t>
  </si>
  <si>
    <t>1037739200025</t>
  </si>
  <si>
    <t>119991, Москва, ул. Косыгина, 4</t>
  </si>
  <si>
    <t>понедельник-пятница с 11:00 до 17:00, перерыв на обед с 13:00 до 14:00</t>
  </si>
  <si>
    <t>+74959397206</t>
  </si>
  <si>
    <t>aspirantura@chph.ras.ru</t>
  </si>
  <si>
    <t>Федеральный научно-исследовательский социологический центр Российской академии наук</t>
  </si>
  <si>
    <t>1057748899560</t>
  </si>
  <si>
    <t>117218, Москва, Кржижановского, 24/35</t>
  </si>
  <si>
    <t>ФНИСЦ РАН: понедельник-пятница: 11:00-16:00, суббота и воскресенье: выходной; СИ РАН: понедельник-четверг: 9:00-17:30, пятница: 9:00-16:30, суббота и воскресенье: выходной</t>
  </si>
  <si>
    <t>ФНИСЦ РАН: +7 (499) 129-05-23; СИ РАН: +7 (812) 316-17-56</t>
  </si>
  <si>
    <t>ФНИСЦ РАН: aspirantura@fnisc.ru; СИ РАН: noc@socinst.ru</t>
  </si>
  <si>
    <t>Федеральный научно-клинический центр инфекционных болезней Федерального медико-биологического агентства</t>
  </si>
  <si>
    <t>1037828009548</t>
  </si>
  <si>
    <t>197022, Санкт-Петербург, Профессора Попова, 9</t>
  </si>
  <si>
    <t>понедельник - пятница 9:00 - 17:30 суббота и воскресенье: выходной</t>
  </si>
  <si>
    <t>8(812)234-07-40</t>
  </si>
  <si>
    <t>edu@fnkcib.ru</t>
  </si>
  <si>
    <t>Федеральный научно-клинический центр реаниматологии и реабилитологии</t>
  </si>
  <si>
    <t>1137746925337</t>
  </si>
  <si>
    <t>107031, Москва, Петровка, 25</t>
  </si>
  <si>
    <t>понедельник-четверг: 8:30-16:45 пятница: 8:30-15:30 суббота и воскресенье: выходной</t>
  </si>
  <si>
    <t>+7 (495) 650-96-77</t>
  </si>
  <si>
    <t>edu@fnkcrr.ru</t>
  </si>
  <si>
    <t>Федеральный научно-клинический центр специализированных видов медицинской помощи и медицинских технологий</t>
  </si>
  <si>
    <t>1027700089757</t>
  </si>
  <si>
    <t>+495-491-90-20</t>
  </si>
  <si>
    <t>aspirantura@medprofedu.ru</t>
  </si>
  <si>
    <t>Федеральный научно-клинический центр физико-химической медицины имени академика Ю.М. Лопухина Федерального медико-биологического агентства</t>
  </si>
  <si>
    <t>1027739756428</t>
  </si>
  <si>
    <t>olga.likhnova@rcpcm.org</t>
  </si>
  <si>
    <t>119435, Москва, Малая Пироговская, 1</t>
  </si>
  <si>
    <t>+74992467721</t>
  </si>
  <si>
    <t>Федеральный научно-образовательный центр медико-социальной экспертизы и реабилитации им. Г.А.Альбрехта</t>
  </si>
  <si>
    <t>1037816002311</t>
  </si>
  <si>
    <t>195067, Санкт-Петербург, Бестужевская, 50</t>
  </si>
  <si>
    <t>понедельник-пятница: 10:00-17:00, перерыв 13.00-14.00, суббота и воскресенье: выходной</t>
  </si>
  <si>
    <t>(812) 5424569</t>
  </si>
  <si>
    <t>spbpime@mail.ru</t>
  </si>
  <si>
    <t>Федеральный научный агроинженерный центр ВИМ</t>
  </si>
  <si>
    <t>1037739771827</t>
  </si>
  <si>
    <t>109428, Москва, 1-й Институтский проезд, 5</t>
  </si>
  <si>
    <t>+7 (499) 174-87-04</t>
  </si>
  <si>
    <t>priem.vim@mail.ru</t>
  </si>
  <si>
    <t>Федеральный научный селекционно-технологический центр садоводства и питомниководства</t>
  </si>
  <si>
    <t>1027700331328</t>
  </si>
  <si>
    <t>aspirantura-vstisp@mail.ru</t>
  </si>
  <si>
    <t>115598, Москва, ул. Загорьевская, 4</t>
  </si>
  <si>
    <t>понедельник-пятница с 8.00 до 17.00 часов, с 12.00 до 13.00 перерыв на обед. Суббота, воскресенье выходные дни.</t>
  </si>
  <si>
    <t>8 (495) 329 3377</t>
  </si>
  <si>
    <t>Федеральный научный центр</t>
  </si>
  <si>
    <t>1025005327522</t>
  </si>
  <si>
    <t>dissovet@vnitip.ru</t>
  </si>
  <si>
    <t>141311, Сергиев Посад, Птицеградская, 10</t>
  </si>
  <si>
    <t>84965516537</t>
  </si>
  <si>
    <t>Федеральный научный центр «Всероссийский научно-исследовательский институт масличных культур имени В.С. Пустовойта»</t>
  </si>
  <si>
    <t>1022301812400</t>
  </si>
  <si>
    <t>350038, Краснодар, им. Филатова, 17</t>
  </si>
  <si>
    <t>понедельник -пятница: 9.00-16.00, суббота и воскресенье: выходной</t>
  </si>
  <si>
    <t>8 (861)254-24-14</t>
  </si>
  <si>
    <t>aspirantura@vniimk.ru</t>
  </si>
  <si>
    <t>Федеральный научный центр «Кабардино-Балкарский научный центр Российской академии наук»</t>
  </si>
  <si>
    <t>1020700760453</t>
  </si>
  <si>
    <t>A_Nagoev@mail.ru</t>
  </si>
  <si>
    <t>360002, Нальчик, Балкарова, 2</t>
  </si>
  <si>
    <t>+79389161004 +79287225707 +79963307936</t>
  </si>
  <si>
    <t>Федеральный научный центр аграрной экономики и социального развития сельских территорий-Всероссийский научно-исследовательский институт экономики сельского хозяйства</t>
  </si>
  <si>
    <t>1027739343675</t>
  </si>
  <si>
    <t>priem.aspirantura@vniiesh.ru</t>
  </si>
  <si>
    <t>123007, Москва, Хорошевское шоссе, 35</t>
  </si>
  <si>
    <t>+79268678581</t>
  </si>
  <si>
    <t>Федеральный научный центр агробиотехнологий Дальнего Востока им. А.К. Чайки</t>
  </si>
  <si>
    <t>1022500864099</t>
  </si>
  <si>
    <t>skippi2014@gmail.com</t>
  </si>
  <si>
    <t>Тимирязевский</t>
  </si>
  <si>
    <t>692539, Тимирязевский, Воложенина, 30</t>
  </si>
  <si>
    <t>понедельник: 9:00-13:00 вторник-пятница: 9:00-12:30 суббота и воскресенье: выходной</t>
  </si>
  <si>
    <t>+79147277934</t>
  </si>
  <si>
    <t>Федеральный научный центр агроэкологии, комплексных мелиораций и защитного лесоразведения Российской академии наук</t>
  </si>
  <si>
    <t>1023404241684</t>
  </si>
  <si>
    <t>denisova-e@vfanc.ru</t>
  </si>
  <si>
    <t>400062, Волгоград, проспект Университетский, 97</t>
  </si>
  <si>
    <t>+79173321239</t>
  </si>
  <si>
    <t>Федеральный научный центр биологических систем и агротехнологий Российской академии наук</t>
  </si>
  <si>
    <t>1025601026241</t>
  </si>
  <si>
    <t>460000, Оренбург, 9 января, 29</t>
  </si>
  <si>
    <t>Понедельник-четверг: 9:00-17:30 Пятница с 9:00-16:30 Суббота и воскресенье: выходной</t>
  </si>
  <si>
    <t>8(3532) 30-83-15</t>
  </si>
  <si>
    <t>nocbst@mail.ru</t>
  </si>
  <si>
    <t>Федеральный научный центр биологической защиты растений</t>
  </si>
  <si>
    <t>1022301815249</t>
  </si>
  <si>
    <t>aspirantura-bzr@mail.ru</t>
  </si>
  <si>
    <t>350039, Краснодар, -, п/о 39</t>
  </si>
  <si>
    <t>понедельник-четверг: 8:00-16:00 пятница: 8:00-15:00 суббота и воскресенье: выходной</t>
  </si>
  <si>
    <t>8(861)228-17-75 (доб. 407)</t>
  </si>
  <si>
    <t>Федеральный научный центр биоразнообразия наземной биоты Восточной Азии Дальневосточного отделения Российской академии наук</t>
  </si>
  <si>
    <t>1022502124303</t>
  </si>
  <si>
    <t>polyakova@biosoil.ru</t>
  </si>
  <si>
    <t>понедельник-пятница: 13:00-16:30</t>
  </si>
  <si>
    <t>84232310660</t>
  </si>
  <si>
    <t>Федеральный научный центр гигиены им. Ф.Ф. Эрисмана</t>
  </si>
  <si>
    <t>1025003522323</t>
  </si>
  <si>
    <t>141014, Мытищи, Семашко, 2</t>
  </si>
  <si>
    <t>Понедельник-четверг: 8.30-16.30, пятница: 8.30-16.00, суббота и воскресенье: выходной</t>
  </si>
  <si>
    <t>8(495) 582-96-89, 8-905-535-89-64</t>
  </si>
  <si>
    <t>obr@fncg.ru</t>
  </si>
  <si>
    <t>Федеральный научный центр гидротехники и мелиорации имени А.Н. Костякова</t>
  </si>
  <si>
    <t>1027739416286</t>
  </si>
  <si>
    <t>127434, Москва, Большая Академическая, 44</t>
  </si>
  <si>
    <t>8(499)153-72-92</t>
  </si>
  <si>
    <t>aspirantura@vniigim.ru</t>
  </si>
  <si>
    <t>Федеральный научный центр зернобобовых и крупяных культур</t>
  </si>
  <si>
    <t>1025700693149</t>
  </si>
  <si>
    <t>graduatevniizbk@yandex.ru</t>
  </si>
  <si>
    <t>Стрелецкий</t>
  </si>
  <si>
    <t>302502, Стрелецкий, Молодежная, 10</t>
  </si>
  <si>
    <t>понедельник-пятница: 8:00-16:00, перерыв 12:00-13:00</t>
  </si>
  <si>
    <t>8-4862-40-34-61</t>
  </si>
  <si>
    <t>Федеральный научный центр имени И.В. Мичурина</t>
  </si>
  <si>
    <t>1026801062034</t>
  </si>
  <si>
    <t>aspirantura@fnc-mich.ru</t>
  </si>
  <si>
    <t>393774, Мичуринск, Мичурина, 30</t>
  </si>
  <si>
    <t>8(47545)20761</t>
  </si>
  <si>
    <t>Федеральный научный центр исследований и разработки иммунобиологических препаратов им. М.П. Чумакова</t>
  </si>
  <si>
    <t>1167746624847</t>
  </si>
  <si>
    <t>baykova_aj@chumakovs.su</t>
  </si>
  <si>
    <t>108819, Москва, Кржижановского, 29</t>
  </si>
  <si>
    <t>Понедельник - четверг: 8:00-17:00, суббота и воскресенье выходной</t>
  </si>
  <si>
    <t>+7(495)841-90-15</t>
  </si>
  <si>
    <t>Федеральный научный центр кормопроизводства и агроэкологии имени В.Р. Вильямса</t>
  </si>
  <si>
    <t>1025003080827</t>
  </si>
  <si>
    <t>dumacheva@vniikormov.ru</t>
  </si>
  <si>
    <t>Лобня</t>
  </si>
  <si>
    <t>141055, Лобня, Научный городок, 0</t>
  </si>
  <si>
    <t>вторник: 9.00-12.00; пятница 9.00-12.00</t>
  </si>
  <si>
    <t>+79854703503</t>
  </si>
  <si>
    <t>Федеральный научный центр лубяных культур</t>
  </si>
  <si>
    <t>1026900572764</t>
  </si>
  <si>
    <t>info@fnclk.ru</t>
  </si>
  <si>
    <t>170041, Тверь, Комсомольский проспект, 17/56</t>
  </si>
  <si>
    <t>8(4822)41-61-10 доб.141</t>
  </si>
  <si>
    <t>Федеральный научный центр медико-профилактических технологий управления рисками здоровью населения</t>
  </si>
  <si>
    <t>1025900507269</t>
  </si>
  <si>
    <t>8(342) 236 12 88</t>
  </si>
  <si>
    <t>aspirantura@fcrisk.ru</t>
  </si>
  <si>
    <t>614045, Пермь, Монастырская, 82</t>
  </si>
  <si>
    <t>понедельник-пятница 9:00-16:00 суббота и воскресенье: выходной 8(342) 236 12 88</t>
  </si>
  <si>
    <t>Федеральный научный центр Научно-исследовательский институт системных исследований Российской академии наук</t>
  </si>
  <si>
    <t>1027700384909</t>
  </si>
  <si>
    <t>7(499)129-85-44</t>
  </si>
  <si>
    <t>117218, Москва, Нахимовский проспект, 36</t>
  </si>
  <si>
    <t>понедельник-пятница: 9:30-18:15 суббота и воскресенье: выходной</t>
  </si>
  <si>
    <t>aspirantura@niisi.ras.ru ; andrei9_77@niisi.ras.ru сообщения отправлять на два адреса</t>
  </si>
  <si>
    <t>Федеральный научный центр овощеводства</t>
  </si>
  <si>
    <t>1035006474326</t>
  </si>
  <si>
    <t>aspirantura@vniissok.ru</t>
  </si>
  <si>
    <t>ВНИИССОК</t>
  </si>
  <si>
    <t>143080, ВНИИССОК, Селекционная, 14</t>
  </si>
  <si>
    <t>+7(495)594-77-05 +7(495)594-77-07</t>
  </si>
  <si>
    <t>Федеральный научный центр пищевых систем им. В.М. Горбатова РАН</t>
  </si>
  <si>
    <t>1027739231651</t>
  </si>
  <si>
    <t>e.sanjapova@fncps.ru</t>
  </si>
  <si>
    <t>109316, МОСКВА, УЛИЦА ТАЛАЛИХИНА, 26</t>
  </si>
  <si>
    <t>8(495)-676-95-11, доб. 302</t>
  </si>
  <si>
    <t>Федеральный научный центр психологических и междисциплинарных исследований</t>
  </si>
  <si>
    <t>1027700085995</t>
  </si>
  <si>
    <t>125009, Москва, ул. Моховая, 9</t>
  </si>
  <si>
    <t>+7(977)502-99-86</t>
  </si>
  <si>
    <t>priem_fncpmi@pirao.ru</t>
  </si>
  <si>
    <t>Федеральный научный центр риса</t>
  </si>
  <si>
    <t>1022301808000</t>
  </si>
  <si>
    <t>nirvniirisa@mail.ru</t>
  </si>
  <si>
    <t>350921, Краснодар, пос. Белозерный, 3</t>
  </si>
  <si>
    <t>Понедельник-пятница: 09:00-16:00 суббота и воскресенье: выходной</t>
  </si>
  <si>
    <t>+79282399399</t>
  </si>
  <si>
    <t>Федеральный научный центр физической культуры и спорта</t>
  </si>
  <si>
    <t>1027700481148</t>
  </si>
  <si>
    <t>aspirantura@vniifk.ru</t>
  </si>
  <si>
    <t>105005, Москва, Елизаветинский переулок, 10</t>
  </si>
  <si>
    <t>+74992654432 доб. 1080</t>
  </si>
  <si>
    <t>Федеральный научный центр – Всероссийский научно-исследовательский институт экспериментальной ветеринарии имени К.И. Скрябина и Я.Р. Коваленко Российской академии наук</t>
  </si>
  <si>
    <t>1037700258870</t>
  </si>
  <si>
    <t>109428, Москва, Рязанский проспект, 24</t>
  </si>
  <si>
    <t>+79164505188</t>
  </si>
  <si>
    <t>aspirantura@viev.ru</t>
  </si>
  <si>
    <t>Федеральный Ростовский аграрный научный центр</t>
  </si>
  <si>
    <t>1026100666910</t>
  </si>
  <si>
    <t>Рассвет</t>
  </si>
  <si>
    <t>346735, Рассвет, Институтская, 1</t>
  </si>
  <si>
    <t>понедельник-пятница: 8:00-16:12</t>
  </si>
  <si>
    <t>+7(86350)37-3-89</t>
  </si>
  <si>
    <t>priemnaya@franc161.ru</t>
  </si>
  <si>
    <t>Федеральный центр охраны здоровья животных</t>
  </si>
  <si>
    <t>1023301283720</t>
  </si>
  <si>
    <t>600901, Владимир, мкр. Юрьевец, нет</t>
  </si>
  <si>
    <t>понедельник-среда: 8:00-16:30 четверг-пятница: 8:00-15:30 суббота и воскресенье: выходной</t>
  </si>
  <si>
    <t>8 (4922) 26-15-12 доб. 22-27 8 (4922) 52-99-62 8 (4922) 26-15-12 доб. 25-20</t>
  </si>
  <si>
    <t>nikeshina@arriah.ru, zhbanova@arriah.ru, romenskaya@arriah.ru</t>
  </si>
  <si>
    <t>Федеральный центр токсикологической, радиационной и биологической безопасности</t>
  </si>
  <si>
    <t>1021603615670</t>
  </si>
  <si>
    <t>guliya.sagdeeva@bk.ru</t>
  </si>
  <si>
    <t>420075, Казань, Научный Городок-2, нет</t>
  </si>
  <si>
    <t>понедельник-пятница: 9.00-17.00; суббота и воскресенье: выходной</t>
  </si>
  <si>
    <t>+7(843)239-71-14</t>
  </si>
  <si>
    <t>Физико-технический институт им. А.Ф. Иоффе Российской академии наук</t>
  </si>
  <si>
    <t>1037804006998</t>
  </si>
  <si>
    <t>194021, Санкт-Петербург, Политехническая, 26</t>
  </si>
  <si>
    <t>+78122975069</t>
  </si>
  <si>
    <t>aspirantura@mail.ioffe.ru</t>
  </si>
  <si>
    <t>Физический институт им. П.Н. Лебедева Российской академии наук</t>
  </si>
  <si>
    <t>1027739617960</t>
  </si>
  <si>
    <t>aspirantura@lebedev.ru</t>
  </si>
  <si>
    <t>119991, Москва, Ленинский проспект, 53</t>
  </si>
  <si>
    <t>+7(495)668-88-88 доб 50-02</t>
  </si>
  <si>
    <t>Финансовый университет при Правительстве Российской Федерации</t>
  </si>
  <si>
    <t>1027700451976</t>
  </si>
  <si>
    <t>125993, Москва, Ленинградский проспект, 49/2</t>
  </si>
  <si>
    <t>понедельник-пятница:09:00 - 18:00, суббота и воскресенье: выходной</t>
  </si>
  <si>
    <t>+7 (495) 249-52-49</t>
  </si>
  <si>
    <t>priemka@fa.ru</t>
  </si>
  <si>
    <t>Хабаровская духовная семинария</t>
  </si>
  <si>
    <t>1052700288761</t>
  </si>
  <si>
    <t>680000, Хабаровск, Тургенева, 26</t>
  </si>
  <si>
    <t>понедельник-пятница: 9:00-16:00, суббота и воскресенье: выходной</t>
  </si>
  <si>
    <t>+7 (4212) 22-32-21</t>
  </si>
  <si>
    <t>rectorat@dvseminary.ru</t>
  </si>
  <si>
    <t>Хабаровский государственный институт культуры</t>
  </si>
  <si>
    <t>1022701195440</t>
  </si>
  <si>
    <t>pr.kom@hgiik.ru</t>
  </si>
  <si>
    <t>680045, Хабаровск, Краснореченская, 112</t>
  </si>
  <si>
    <t>понедельник-пятница: 9:00-17:00 суббота: 9:00-13:00 и воскресенье: выходной</t>
  </si>
  <si>
    <t>8(4212)563540</t>
  </si>
  <si>
    <t>Хабаровский Федеральный исследовательский центр Дальневосточного отделения Российской академии наук</t>
  </si>
  <si>
    <t>1022700928194</t>
  </si>
  <si>
    <t>город Хабаровск</t>
  </si>
  <si>
    <t>680000, город Хабаровск, Дзержинского, 54</t>
  </si>
  <si>
    <t>+7(4212)327927</t>
  </si>
  <si>
    <t>adm@khfrc.ru</t>
  </si>
  <si>
    <t>Хакасский государственный университет им. Н.Ф. Катанова</t>
  </si>
  <si>
    <t>1021900524854</t>
  </si>
  <si>
    <t>Республика Хакасия</t>
  </si>
  <si>
    <t>Абакан</t>
  </si>
  <si>
    <t>655000, Абакан, проспект Ленина, 90</t>
  </si>
  <si>
    <t>понедельник-пятница: 9:00-17.00 суббота 9:00-13:00 воскресенье выходной</t>
  </si>
  <si>
    <t>83902228455</t>
  </si>
  <si>
    <t>maynagasheva_en@khsu.ru</t>
  </si>
  <si>
    <t>Ханты-Мансийская государственная медицинская академия</t>
  </si>
  <si>
    <t>1028600513039</t>
  </si>
  <si>
    <t>Ханты-Мансийск</t>
  </si>
  <si>
    <t>628000, Ханты-Мансийск, Мира, 40</t>
  </si>
  <si>
    <t>8-800-444-50-86</t>
  </si>
  <si>
    <t>pk@hmgma.ru</t>
  </si>
  <si>
    <t>Херсонская государственная морская академия</t>
  </si>
  <si>
    <t>1229500007725</t>
  </si>
  <si>
    <t>Херсонская область</t>
  </si>
  <si>
    <t>ksmaru.academy@yandex.ru</t>
  </si>
  <si>
    <t>Город Херсон</t>
  </si>
  <si>
    <t>273003, Город Херсон, Ушакова, 20</t>
  </si>
  <si>
    <t>понедельник-суббота: 9.00-18.00, воскресенье: выходной</t>
  </si>
  <si>
    <t>+79883125425</t>
  </si>
  <si>
    <t>Херсонский аграрный университет</t>
  </si>
  <si>
    <t>1229500008594</t>
  </si>
  <si>
    <t>Херсон</t>
  </si>
  <si>
    <t>273003, Херсон, Сретенская, 23</t>
  </si>
  <si>
    <t>Понедельник-пятница: 9:00-17:30 суббота: 9:00-13:00 воскресенье: выходной</t>
  </si>
  <si>
    <t>+79900595039 +79902529567</t>
  </si>
  <si>
    <t>priem@hau-edu.ru</t>
  </si>
  <si>
    <t>Херсонский государственный педагогический университет</t>
  </si>
  <si>
    <t>1229500007252</t>
  </si>
  <si>
    <t>273003, Херсон, Университетская, 27</t>
  </si>
  <si>
    <t>понедельник -пятница: 9:00-17:00 суббота и воскресенье: выходной</t>
  </si>
  <si>
    <t>+7 990 189 12 59</t>
  </si>
  <si>
    <t>pk@hgpurf.ru</t>
  </si>
  <si>
    <t>Херсонский технический университет</t>
  </si>
  <si>
    <t>1229500008385</t>
  </si>
  <si>
    <t>273003, Херсон, Бериславское Шоссе, 24</t>
  </si>
  <si>
    <t>Пример: понедельник-пятница: 10:00-17:00, суббота: с 10:00 до 16:00, воскресенье: выходной</t>
  </si>
  <si>
    <t>+79902489494; +79902489500</t>
  </si>
  <si>
    <t>khtu.priem.com@yandex.ru</t>
  </si>
  <si>
    <t>Федеральная служба по надзору в сфере образования и науки (Рособрнадзор)</t>
  </si>
  <si>
    <t>Центр информационных технологий и систем органов исполнительной власти</t>
  </si>
  <si>
    <t>5087746697528</t>
  </si>
  <si>
    <t>123557, Москва, ул. Пресненский Вал, 19</t>
  </si>
  <si>
    <t>8-499-702-85-62 8-499-702-81-14</t>
  </si>
  <si>
    <t>edu@citis.ru</t>
  </si>
  <si>
    <t>Центр исследования проблем безопасности Российской академии наук</t>
  </si>
  <si>
    <t>1047796379003</t>
  </si>
  <si>
    <t>info@spsc-ras.ru</t>
  </si>
  <si>
    <t>117335, МОСКВА, УЛИЦА ГАРИБАЛЬДИ, д 21Б</t>
  </si>
  <si>
    <t>понедельник-пятница 10:00-17:00, суббота и воскресенье: выходной</t>
  </si>
  <si>
    <t>+74991206024</t>
  </si>
  <si>
    <t>Центр по проблемам экологии и продуктивности лесов Российской академии наук</t>
  </si>
  <si>
    <t>1027739791925</t>
  </si>
  <si>
    <t>Понедельник-Пятница: 9:00-17:30 суббота и воскресенье: выходной</t>
  </si>
  <si>
    <t>8(499)7430016</t>
  </si>
  <si>
    <t>asp.cepf@gmail.com</t>
  </si>
  <si>
    <t>Центр социологических исследований</t>
  </si>
  <si>
    <t>1027739468008</t>
  </si>
  <si>
    <t>115988, Москва, Люсиновская, 51</t>
  </si>
  <si>
    <t>Центр теоретических проблем физико-химической фармакологии Российской академии наук</t>
  </si>
  <si>
    <t>1037736008727</t>
  </si>
  <si>
    <t>109029, Москва, Средняя Калитниковская, 30</t>
  </si>
  <si>
    <t>+74956783116</t>
  </si>
  <si>
    <t>info@ctppcp.ru</t>
  </si>
  <si>
    <t>Центральная музыкальная школа-Академия исполнительского искусства</t>
  </si>
  <si>
    <t>1037739256763</t>
  </si>
  <si>
    <t>125009, Москва, Малый Кисловский переулок, 4</t>
  </si>
  <si>
    <t>Понедельник-четверг 9:30-18:00 пятница 9:30-17:00 суббота и воскресенье - выходной</t>
  </si>
  <si>
    <t>+7 (967) 148-67-39</t>
  </si>
  <si>
    <t>priem@cmsmoscow.ru</t>
  </si>
  <si>
    <t>ЦЕНТРАЛЬНЫЙ АЭРОГИДРОДИНАМИЧЕСКИЙ ИНСТИТУТ ИМЕНИ ПРОФЕССОРА Н.Е. ЖУКОВСКОГО</t>
  </si>
  <si>
    <t>1225000018803</t>
  </si>
  <si>
    <t>Жуковский</t>
  </si>
  <si>
    <t>140180, Жуковский, Жуковского, 1</t>
  </si>
  <si>
    <t>8 (495) 556-40-74</t>
  </si>
  <si>
    <t>aspirantura@tsagi.ru</t>
  </si>
  <si>
    <t>Центральный институт авиационного моторостроения имени П.И. Баранова</t>
  </si>
  <si>
    <t>1217700087285</t>
  </si>
  <si>
    <t>111116, Москва, Авиамоторная, 2</t>
  </si>
  <si>
    <t>понедельник-четверг: 08:30-17:45, пятница: 08:30-15:00, суббота и воскресенье: выходной</t>
  </si>
  <si>
    <t>+7 (495) 362-92-74 (доб. 58-89)</t>
  </si>
  <si>
    <t>dep8000@ciam.ru</t>
  </si>
  <si>
    <t>Центральный научно-исследовательский и опытно-конструкторский институт робототехники и технической кибернетики</t>
  </si>
  <si>
    <t>1027802484852</t>
  </si>
  <si>
    <t>194064, Санкт-Петербург, пр. Тихорецкий, 21</t>
  </si>
  <si>
    <t>вторник: 09:00 - 14:00</t>
  </si>
  <si>
    <t>+7(812) 552-01-10</t>
  </si>
  <si>
    <t>t.gvildis@rtc.ru</t>
  </si>
  <si>
    <t>Центральный научно-исследовательский и проектно-экспериментальный институт промышленных зданий и сооружений-ЦНИИПРомзданий</t>
  </si>
  <si>
    <t>1027739344544</t>
  </si>
  <si>
    <t>kuprina@cniipz.ru</t>
  </si>
  <si>
    <t>127238, Москва, Дмитровское шоссе, 46</t>
  </si>
  <si>
    <t>с 10.00-16.00 субботы и воскресенье -выходной</t>
  </si>
  <si>
    <t>84954823736</t>
  </si>
  <si>
    <t>Центральный научно-исследовательский и проектный институт Министерства строительства и жилищно-коммунального хозяйства Российской Федерации</t>
  </si>
  <si>
    <t>1027700245825</t>
  </si>
  <si>
    <t>o.kovalenko@cniipminstroy.ru</t>
  </si>
  <si>
    <t>119331, -, проспект Вернадского, 29</t>
  </si>
  <si>
    <t>понедельник-пятница: 9:00-18:00 пятница: 9:00-16:45 суббота и воскресенье:выходной</t>
  </si>
  <si>
    <t>+79213380702</t>
  </si>
  <si>
    <t>Центральный научно-исследовательский институт конструкционных материалов «Прометей» имени И.В. Горынина Национального исследовательского центра «Курчатовский институт»</t>
  </si>
  <si>
    <t>1037843061376</t>
  </si>
  <si>
    <t>+7(812)274-13-17</t>
  </si>
  <si>
    <t>opnk-prometey@crism.ru</t>
  </si>
  <si>
    <t>191015, Санкт-Петербург, Шпалерная, 49</t>
  </si>
  <si>
    <t>понедельник-четверг: 9:00-17:30 пятница: 9:00-16:00 суббота и воскресенье: выходной</t>
  </si>
  <si>
    <t>Центральный научно-исследовательский институт туберкулеза</t>
  </si>
  <si>
    <t>1027700216280</t>
  </si>
  <si>
    <t>107564, Москва, Яузская аллея, 2</t>
  </si>
  <si>
    <t>понедельник-пятница: 9:00-15.00, пятница: 9:00-14.00, суббота и воскресенье: выходной</t>
  </si>
  <si>
    <t>+74997859079</t>
  </si>
  <si>
    <t>education_cniit@mail.ru</t>
  </si>
  <si>
    <t>Центральный научно–исследовательский институт эпидемиологии</t>
  </si>
  <si>
    <t>1027700046615</t>
  </si>
  <si>
    <t>111123, Москва, Новогиреевская, 3</t>
  </si>
  <si>
    <t>Понедельник–пятница: 10:30 -15:00, суббота и воскресенье: выходной</t>
  </si>
  <si>
    <t>+7 (495) 672-11-36; +7(985) 302-96-54</t>
  </si>
  <si>
    <t>ucheba@pcr.ru</t>
  </si>
  <si>
    <t>Центральный ордена Трудового Красного Знамени научно-исследовательский автомобильный и автомоторный институт "НАМИ"</t>
  </si>
  <si>
    <t>1027739228406</t>
  </si>
  <si>
    <t>Tsigylskaya@nami.ru</t>
  </si>
  <si>
    <t>125438, Москва, Автомоторная, 2</t>
  </si>
  <si>
    <t>понедельник-четверг: 9:00-17:30 пятница: 9:00-16:30 суббота и воскресенье выходной</t>
  </si>
  <si>
    <t>+74954565700</t>
  </si>
  <si>
    <t>Центральный сибирский ботанический сад Сибирского отделения Российской академии наук</t>
  </si>
  <si>
    <t>1025403641537</t>
  </si>
  <si>
    <t>630090, Новосибирск, Золотодолинская, 101</t>
  </si>
  <si>
    <t>понедельник-четверг: 8.30-16.30 пятница: 8.30-15.30 суббота и воскресенье: выходной</t>
  </si>
  <si>
    <t>8 (383) 339-97-02</t>
  </si>
  <si>
    <t>mirta-12@mail.ru</t>
  </si>
  <si>
    <t>ЦЕНТРАЛЬНЫЙ УНИВЕРСИТЕТ</t>
  </si>
  <si>
    <t>1237700353604</t>
  </si>
  <si>
    <t>123056, Москва, Гашека, 7</t>
  </si>
  <si>
    <t>Понедельник-пятница: 9:00-18:00, суббота: 9:00-16:00, воскресенье: выходной</t>
  </si>
  <si>
    <t>+7(800)511-25-51</t>
  </si>
  <si>
    <t>apply@centraluniversity.ru</t>
  </si>
  <si>
    <t>Центральный экономико-математический институт Российской академии наук</t>
  </si>
  <si>
    <t>1027739340067</t>
  </si>
  <si>
    <t>aspir@cemi.rssi.ru</t>
  </si>
  <si>
    <t>понедельник -четверг: 10.00-16:00</t>
  </si>
  <si>
    <t>+7 499 724 17 21</t>
  </si>
  <si>
    <t>Чайковская государственная академия физической культуры и спорта</t>
  </si>
  <si>
    <t>1025902030868</t>
  </si>
  <si>
    <t>4cekretpk@chgafkis.ru</t>
  </si>
  <si>
    <t>Чайковский</t>
  </si>
  <si>
    <t>617764, Чайковский, Ленина, 67</t>
  </si>
  <si>
    <t>8-34-241-4-74-57</t>
  </si>
  <si>
    <t>Частное образовательное учреждение высшего образования Гуманитарный университет им. М.А. Шавхалова</t>
  </si>
  <si>
    <t>1180608000044</t>
  </si>
  <si>
    <t>Понедельник – пятница с 9:00 до 18:00 (перерыв с 13:00 до 14:00); Суббота с 9:00 до 13:00; Воскресенье выходной</t>
  </si>
  <si>
    <t>+79286971515</t>
  </si>
  <si>
    <t>gum_univer@mail.ru</t>
  </si>
  <si>
    <t>Челябинский государственный институт культуры</t>
  </si>
  <si>
    <t>1027402891383</t>
  </si>
  <si>
    <t>454091, Челябинск, Орджоникидзе, 36А</t>
  </si>
  <si>
    <t>Понедельник-четверг: 9:00 - 17:00 пятница: 9:00-16:00 суббота: 9:00-14:00 воскресенье: выходной</t>
  </si>
  <si>
    <t>+7(351)263-89-41</t>
  </si>
  <si>
    <t>pri-kom@chgaki.ru</t>
  </si>
  <si>
    <t>Челябинский государственный университет</t>
  </si>
  <si>
    <t>1027402324905</t>
  </si>
  <si>
    <t>abit@csu.ru</t>
  </si>
  <si>
    <t>454001, Челябинск, Братьев Кашириных, 129</t>
  </si>
  <si>
    <t>График работы прямого номера телефона До 20.06.2026 понедельник-четверг: с 8:00 до 17:00 пятница: с 8:00 до 15:45 суббота, воскресенье выходной с 20.06.2026 понедельник - пятница: с 8:00 до 17:00 суббота: с 8:00 до 14:00 воскресенье выходной</t>
  </si>
  <si>
    <t>8 (351) 799-70-01</t>
  </si>
  <si>
    <t>Череповецкий государственный университет</t>
  </si>
  <si>
    <t>1023501255348</t>
  </si>
  <si>
    <t>Череповец</t>
  </si>
  <si>
    <t>162600, Череповец, проспект Луначарского, 5</t>
  </si>
  <si>
    <t>понедельник-четверг: 9:00-17:30 пятница: 9:00-15:00 суббота и воскресенье: выходной</t>
  </si>
  <si>
    <t>+7 (8202) 51-71-88, 51-81-70</t>
  </si>
  <si>
    <t>priemka@chsu.ru</t>
  </si>
  <si>
    <t>Черноморское высшее военноморское училище имени П.С. Нахимова</t>
  </si>
  <si>
    <t>1149204009580</t>
  </si>
  <si>
    <t>299028, Севастополь, улица Павла Дыбенко, 1а</t>
  </si>
  <si>
    <t>+79788366050</t>
  </si>
  <si>
    <t>f_sies@sev-chvvmu.ru</t>
  </si>
  <si>
    <t>Чеченский государственный педагогический университет</t>
  </si>
  <si>
    <t>1022002546323</t>
  </si>
  <si>
    <t>364037, Грозный, Субры Кишиевой, 33</t>
  </si>
  <si>
    <t>Понедельник-суббота с 9:00-18:00, выходной: воскресенье</t>
  </si>
  <si>
    <t>+7 (928) 475-82-54</t>
  </si>
  <si>
    <t>rumisaelmurzaeva@mail.ru</t>
  </si>
  <si>
    <t>Чеченский государственный университет имени Ахмата Абдулхамидовича Кадырова</t>
  </si>
  <si>
    <t>1032001202903</t>
  </si>
  <si>
    <t>364024, Грозный, ул. А. Шерипова, 32</t>
  </si>
  <si>
    <t>понедельник-пятница: 9-00 до 18-00 суббота: 9-00 до 14-00 перерыв: 12-00до 13-00</t>
  </si>
  <si>
    <t>+7 (8712) 29-55-53</t>
  </si>
  <si>
    <t>pk@chesu.ru</t>
  </si>
  <si>
    <t>Читинская государственная медицинская академия Министерства здравоохранения Российской Федерации</t>
  </si>
  <si>
    <t>1027501147960</t>
  </si>
  <si>
    <t>672000, Чита, Горького, 39</t>
  </si>
  <si>
    <t>8(3022)217438</t>
  </si>
  <si>
    <t>priem@chitgma.ru</t>
  </si>
  <si>
    <t>Чувашский государственный аграрный университет</t>
  </si>
  <si>
    <t>1022101131150</t>
  </si>
  <si>
    <t>428003, Чебоксары, К. Маркса, 29</t>
  </si>
  <si>
    <t>понедельник - пятница: 8:00-17:00, суббота и воскресенье: выходной</t>
  </si>
  <si>
    <t>8(8352) 62-21-55</t>
  </si>
  <si>
    <t>pk@academy21.ru</t>
  </si>
  <si>
    <t>Чувашский государственный институт культуры и искусств Министерства культуры, по делам национальностей и архивного дела Чувашской Республики</t>
  </si>
  <si>
    <t>1022101268970</t>
  </si>
  <si>
    <t>428023, Чебоксары, Энтузиастов, 26</t>
  </si>
  <si>
    <t>ПН-ПТ 9.00-17.00 ОБЕД 12.00-13.00 СУББ 9.00-14.00 ОБЕД 12.00-13.00</t>
  </si>
  <si>
    <t>8(8352) 33-05-15; 8(8352) 33-09-69</t>
  </si>
  <si>
    <t>chgiki-priem@mail.ru</t>
  </si>
  <si>
    <t>Чувашский государственный педагогический университет им. И.Я. Яковлева</t>
  </si>
  <si>
    <t>1022101133218</t>
  </si>
  <si>
    <t>priem@chuvgpu.ru</t>
  </si>
  <si>
    <t>428000, Чебоксары, Карла Маркса, 38</t>
  </si>
  <si>
    <t>8(8352)22-04-80</t>
  </si>
  <si>
    <t>Чувашский государственный университет имени И.Н. Ульянова</t>
  </si>
  <si>
    <t>1022101274315</t>
  </si>
  <si>
    <t>428015, Чебоксары, Московский проспект, 15</t>
  </si>
  <si>
    <t>8-(8352)-45-23-39</t>
  </si>
  <si>
    <t>priemkomchgu@rambler.ru</t>
  </si>
  <si>
    <t>Чурапчинский государственный институт физической культуры и спорта</t>
  </si>
  <si>
    <t>1021400920090</t>
  </si>
  <si>
    <t>Чурапча</t>
  </si>
  <si>
    <t>678671, Чурапча, Спортивная, 2</t>
  </si>
  <si>
    <t>понедельник - пятница; 09.00-18.00 (обеденный перерыв 13.00-14.00); суббота, воскресенье - выходные дни</t>
  </si>
  <si>
    <t>8 (914) 300-85-55; 8 (41151)-43-200</t>
  </si>
  <si>
    <t>pk@chgifkis.ru; rector@chgifkis.ru</t>
  </si>
  <si>
    <t>Шадринский государственный педагогический университет</t>
  </si>
  <si>
    <t>1024501204034</t>
  </si>
  <si>
    <t>Шадринск</t>
  </si>
  <si>
    <t>641870, Шадринск, Карла Либкнехта, 3</t>
  </si>
  <si>
    <t>понедельник-пятница: 8:00-18:00 суббота 9:00-13.00, воскресенье: выходной</t>
  </si>
  <si>
    <t>83525364519</t>
  </si>
  <si>
    <t>pk@shspu.ru</t>
  </si>
  <si>
    <t>ШКОЛА УПРАВЛЕНИЯ СКОЛКОВО</t>
  </si>
  <si>
    <t>1237700448413</t>
  </si>
  <si>
    <t>143085, МОСКВА, Ш СКОЛКОВСКОЕ, 45</t>
  </si>
  <si>
    <t>10:00-18:00 суббота и воскресенье: выходной</t>
  </si>
  <si>
    <t>+7 495 280 06 80</t>
  </si>
  <si>
    <t>admissions@skolkovo.ru</t>
  </si>
  <si>
    <t>Школа-студия (институт) имени Вл.И.Немировича-Данченко при Московском Художественном академическом театре имени А.П. Чехова</t>
  </si>
  <si>
    <t>1027739339814</t>
  </si>
  <si>
    <t>uchotdel@mxat-school.ru</t>
  </si>
  <si>
    <t>125009, г Москва, Тверская, 6</t>
  </si>
  <si>
    <t>понедельник-суббота 10.00-17.00, воскресенье выходной</t>
  </si>
  <si>
    <t>+74956290964</t>
  </si>
  <si>
    <t>Экспертно-аналитический центр</t>
  </si>
  <si>
    <t>1057725030703</t>
  </si>
  <si>
    <t>109316, Москва, ул. Талалихина, 33</t>
  </si>
  <si>
    <t>+7(915)205-70-34</t>
  </si>
  <si>
    <t>kazakov-iv@fgbnuac.ru</t>
  </si>
  <si>
    <t>Юго-Западный государственный университет</t>
  </si>
  <si>
    <t>1034637015786</t>
  </si>
  <si>
    <t>305040, Курск, 50 лет Октября, 94</t>
  </si>
  <si>
    <t>Понедельник-пятница: 09:00-16:00, суббота-воскресенье: 10:00-13:00</t>
  </si>
  <si>
    <t>+7(4712)22-25-64</t>
  </si>
  <si>
    <t>swsuee@mail.ru</t>
  </si>
  <si>
    <t>Югорский государственный университет</t>
  </si>
  <si>
    <t>1028600511103</t>
  </si>
  <si>
    <t>628012, Ханты-Мансийск, Чехова, 16</t>
  </si>
  <si>
    <t>8(3467)377037</t>
  </si>
  <si>
    <t>priem@ugrasu.ru</t>
  </si>
  <si>
    <t>Южно-Российский государственный политехнический университет (НПИ) имени М.И. Платова</t>
  </si>
  <si>
    <t>1026102216030</t>
  </si>
  <si>
    <t>pku@npi-tu.ru</t>
  </si>
  <si>
    <t>346428, Новочеркасск, ул. Просвещения, 132</t>
  </si>
  <si>
    <t>9.00 – 18.00</t>
  </si>
  <si>
    <t>8 800 222 73 70 88635255779</t>
  </si>
  <si>
    <t>Южно-Российский гуманитарный институт</t>
  </si>
  <si>
    <t>1026103175955</t>
  </si>
  <si>
    <t>8(863)267-34-37</t>
  </si>
  <si>
    <t>urgi@urgi.info</t>
  </si>
  <si>
    <t>344082, Ростов-на-Дону, Красноармейская, 108</t>
  </si>
  <si>
    <t>Южно-Уральский государственный аграрный университет</t>
  </si>
  <si>
    <t>1027401101530</t>
  </si>
  <si>
    <t>Троицк</t>
  </si>
  <si>
    <t>457103, Троицк, ул. им. Ю.А. Гагарина, 13</t>
  </si>
  <si>
    <t>понедельник-пятница: 08.00-18.00, суббота и воскресенье: 09.00-15.00</t>
  </si>
  <si>
    <t>+7 (351) 266-65-19</t>
  </si>
  <si>
    <t>pkom@sursau.ru</t>
  </si>
  <si>
    <t>Южно-Уральский государственный гуманитарно-педагогический университет</t>
  </si>
  <si>
    <t>1027403882164</t>
  </si>
  <si>
    <t>kuchugulovrz@cspu.ru</t>
  </si>
  <si>
    <t>454008, Челябинск, проспект Ленина, 69</t>
  </si>
  <si>
    <t>+7(351)216-63-63</t>
  </si>
  <si>
    <t>Южно-Уральский государственный институт искусств имени П.И. Чайковского</t>
  </si>
  <si>
    <t>1027402921479</t>
  </si>
  <si>
    <t>454091, Челябинск, Плеханова, 41</t>
  </si>
  <si>
    <t>понедельник-пятница: 9:00-17:00 обеденный перерыв: 12:00-13:00 суббота и воскресенье: выходной</t>
  </si>
  <si>
    <t>+7 (351) 263-35-43</t>
  </si>
  <si>
    <t>uyrgii74onlinepriem@uyrgii.ru</t>
  </si>
  <si>
    <t>Южно-Уральский государственный медицинский университет Министерства здравоохранения Российской Федерации</t>
  </si>
  <si>
    <t>1027403890865</t>
  </si>
  <si>
    <t>454092, Челябинск, Воровского, 64</t>
  </si>
  <si>
    <t>+7 (351) 240-20-20</t>
  </si>
  <si>
    <t>prkom@susmu.su</t>
  </si>
  <si>
    <t>Южно-Уральский государственный университет</t>
  </si>
  <si>
    <t>1027403857568</t>
  </si>
  <si>
    <t>454080, Челябинск, Ленина проспект, 76</t>
  </si>
  <si>
    <t>понедельник-четверг: 9:00-17:00 пятница: 9:00-16:30 суббота и воскресенье: 10:00-14:00</t>
  </si>
  <si>
    <t>+7-351-267-94-52</t>
  </si>
  <si>
    <t>prkom@susu.ru</t>
  </si>
  <si>
    <t>Южно-Уральский технологический университет</t>
  </si>
  <si>
    <t>1027402813107</t>
  </si>
  <si>
    <t>454052, Челябинск, Комаровского, 9</t>
  </si>
  <si>
    <t>понедельник-пятница: 08:30-17:00, суббота: 08:30-14:00, воскресенье: выходной</t>
  </si>
  <si>
    <t>+7 (351) 2144111</t>
  </si>
  <si>
    <t>priem@inueco.ru</t>
  </si>
  <si>
    <t>Южно-Уральский федеральный научный центр минералогии и геоэкологии Уральского отделения Российской академии наук</t>
  </si>
  <si>
    <t>1027403877270</t>
  </si>
  <si>
    <t>+7(3513)298098 доб. 215</t>
  </si>
  <si>
    <t>info@mineralogy.ru</t>
  </si>
  <si>
    <t>Миасс</t>
  </si>
  <si>
    <t>456317, Миасс, территория Ильменский заповедник, нет</t>
  </si>
  <si>
    <t>Южный университет (ИУБиП)</t>
  </si>
  <si>
    <t>1026102898502</t>
  </si>
  <si>
    <t>info@iubip.ru</t>
  </si>
  <si>
    <t>344068, Ростов-на-Дону, Михаила Нагибина, 33А</t>
  </si>
  <si>
    <t>понедельник-пятница: 09:00-18:00 суббота: 09:00-14:00 воскресенье: выходной</t>
  </si>
  <si>
    <t>88007755012</t>
  </si>
  <si>
    <t>Южный федеральный университет</t>
  </si>
  <si>
    <t>1026103165241</t>
  </si>
  <si>
    <t>344006, Ростов-на-Дону, ул. Большая Садовая, 105/42</t>
  </si>
  <si>
    <t>До 20.06.2026 понедельник - пятница: 09:00-17:00, суббота и воскресенье: выходной. С 20.06.2026 понедельник - пятница: 09:00-17:00, суббота: 09:00-14:00, воскресенье: выходной.</t>
  </si>
  <si>
    <t>+7(863)219-97-52</t>
  </si>
  <si>
    <t>priem@sfedu.ru</t>
  </si>
  <si>
    <t>Якутский научный центр комплексных медицинских проблем</t>
  </si>
  <si>
    <t>1021401063133</t>
  </si>
  <si>
    <t>677000, Якутск, Ярославского, 6</t>
  </si>
  <si>
    <t>отсутствует</t>
  </si>
  <si>
    <t>Ярославская духовная семинария Ярославской Епархии Русской Православной Церкви</t>
  </si>
  <si>
    <t>1027600003496</t>
  </si>
  <si>
    <t>150000, Ярославль, пл. Челюскинцев, 12/4</t>
  </si>
  <si>
    <t>понедельник - пятница: 10:00 - 17:00 суббота и воскресенье: выходной</t>
  </si>
  <si>
    <t>+7(4852) 31-39-75</t>
  </si>
  <si>
    <t>info@yarseminaria.ru</t>
  </si>
  <si>
    <t>Ярославский государственный аграрный университет</t>
  </si>
  <si>
    <t>1027600518527</t>
  </si>
  <si>
    <t>150042, Ярославль, Тутаевское шоссе, 58</t>
  </si>
  <si>
    <t>понедельник-четверг: 9:00-17:00 пятница: 9:00-16:00 суббота и воскресенье: выходной С 20 июня 2026 г.: понедельник-суббота: 9:00-17:00 воскресенье: выходной</t>
  </si>
  <si>
    <t>8(4852)593500</t>
  </si>
  <si>
    <t>priem-agro@yarcx.ru</t>
  </si>
  <si>
    <t>Ярославский государственный медицинский университет Министерства здравоохранения Российской Федерации</t>
  </si>
  <si>
    <t>1027600693812</t>
  </si>
  <si>
    <t>150000, Ярославль, Революционная, 5</t>
  </si>
  <si>
    <t>понедельник-пятница: 10:00-16:00, суббота: 9:00-12:00, воскресенье: выходной</t>
  </si>
  <si>
    <t>+7(910) 973-04-45 (короткий 33-04-45)</t>
  </si>
  <si>
    <t>ysmupriem@mail.ru</t>
  </si>
  <si>
    <t>Ярославский государственный педагогический университет им. К.Д. Ушинского</t>
  </si>
  <si>
    <t>1027600676487</t>
  </si>
  <si>
    <t>150066, Ярославль, Республиканская, 108/1</t>
  </si>
  <si>
    <t>Понедельник-пятница: 09:00-17:00 Обед с: 13:00-14:00, Суббота с 09:00-13:00</t>
  </si>
  <si>
    <t>+7 (4852)728-728</t>
  </si>
  <si>
    <t>priem@yspu.org</t>
  </si>
  <si>
    <t>Ярославский государственный театральный институт имени Фирса Шишигина</t>
  </si>
  <si>
    <t>1027600684980</t>
  </si>
  <si>
    <t>150000, Ярославль, Депутатская, 15/43</t>
  </si>
  <si>
    <t>8 (4852) 31-41-14</t>
  </si>
  <si>
    <t>admin@theatrins-yar.ru</t>
  </si>
  <si>
    <t>Ярославский государственный технический университет</t>
  </si>
  <si>
    <t>1027600791283</t>
  </si>
  <si>
    <t>150023, Ярославль, Московский пр-т, 88</t>
  </si>
  <si>
    <t>8-800-250-76-77</t>
  </si>
  <si>
    <t>priem@ystu.ru</t>
  </si>
  <si>
    <t>Ярославский государственный университет им. П.Г. Демидова</t>
  </si>
  <si>
    <t>1027600680249</t>
  </si>
  <si>
    <t>150003, Ярославль, ул. Советская, 14</t>
  </si>
  <si>
    <t>Понедельник – пятница: 9:00 - 16:00 Суббота: 10:00 - 13:00 Воскресенье: выходной</t>
  </si>
  <si>
    <t>8 (4852) 30-32-10</t>
  </si>
  <si>
    <t>priem@uniyar.ac.ru</t>
  </si>
  <si>
    <t>UTC+7</t>
  </si>
  <si>
    <t>Анадырь</t>
  </si>
  <si>
    <t>Чукотский автономный округ</t>
  </si>
  <si>
    <t>UTC+12</t>
  </si>
  <si>
    <t>UTC+3</t>
  </si>
  <si>
    <t>UTC+4</t>
  </si>
  <si>
    <t>UTC+10</t>
  </si>
  <si>
    <t>UTC+9</t>
  </si>
  <si>
    <t>UTC+5</t>
  </si>
  <si>
    <t>UTC+8</t>
  </si>
  <si>
    <t>UTC+2</t>
  </si>
  <si>
    <t>UTC+11</t>
  </si>
  <si>
    <t>Нарьян-Мар</t>
  </si>
  <si>
    <t>Ненецкий автономный округ</t>
  </si>
  <si>
    <t>UTC+6</t>
  </si>
  <si>
    <t>Орёл</t>
  </si>
  <si>
    <t>Салехард</t>
  </si>
  <si>
    <t>Ямало-Ненецкий автономный округ</t>
  </si>
  <si>
    <t>Ханты-Мансийский автономный округ - Югра</t>
  </si>
  <si>
    <r>
      <t xml:space="preserve">Республика Татарстан </t>
    </r>
    <r>
      <rPr>
        <sz val="11"/>
        <color rgb="FFFF0000"/>
        <rFont val="Calibri"/>
        <family val="2"/>
        <charset val="204"/>
        <scheme val="minor"/>
      </rPr>
      <t>(Татарстан)</t>
    </r>
  </si>
  <si>
    <r>
      <t xml:space="preserve">Республика Адыгея </t>
    </r>
    <r>
      <rPr>
        <sz val="11"/>
        <color rgb="FFFF0000"/>
        <rFont val="Calibri"/>
        <family val="2"/>
        <charset val="204"/>
        <scheme val="minor"/>
      </rPr>
      <t>(Адыгея)</t>
    </r>
  </si>
  <si>
    <r>
      <t xml:space="preserve">Чувашская Республика - </t>
    </r>
    <r>
      <rPr>
        <sz val="11"/>
        <color rgb="FFFF0000"/>
        <rFont val="Calibri"/>
        <family val="2"/>
        <charset val="204"/>
        <scheme val="minor"/>
      </rPr>
      <t>Чувашия</t>
    </r>
  </si>
  <si>
    <t>МСК+4</t>
  </si>
  <si>
    <t>МСК+9</t>
  </si>
  <si>
    <t>МСК+1</t>
  </si>
  <si>
    <t>МСК+2</t>
  </si>
  <si>
    <t>МСК+3</t>
  </si>
  <si>
    <t>МСК+5</t>
  </si>
  <si>
    <t>МСК+6</t>
  </si>
  <si>
    <t>МСК+7</t>
  </si>
  <si>
    <t>МСК+8</t>
  </si>
  <si>
    <t>МСК-1</t>
  </si>
  <si>
    <t>МСК</t>
  </si>
  <si>
    <t>часовой пояс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</si>
</sst>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1"/>
      <color rgb="FF333333"/>
      <name val="Arial"/>
      <family val="2"/>
      <charset val="204"/>
    </font>
    <font>
      <sz val="11"/>
      <color theme="1"/>
      <name val="Arial"/>
      <family val="2"/>
      <charset val="204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ADAA9D"/>
      </left>
      <right style="medium">
        <color rgb="FFADAA9D"/>
      </right>
      <top style="medium">
        <color rgb="FFADAA9D"/>
      </top>
      <bottom style="medium">
        <color rgb="FFADAA9D"/>
      </bottom>
      <diagonal/>
    </border>
    <border>
      <left style="medium">
        <color rgb="FF969696"/>
      </left>
      <right style="medium">
        <color rgb="FF969696"/>
      </right>
      <top style="medium">
        <color rgb="FF969696"/>
      </top>
      <bottom style="medium">
        <color rgb="FF96969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969696"/>
      </left>
      <right style="medium">
        <color rgb="FF969696"/>
      </right>
      <top style="medium">
        <color rgb="FF969696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6">
    <xf numFmtId="0" fontId="0" fillId="0" borderId="0" xfId="0"/>
    <xf numFmtId="0" fontId="18" fillId="0" borderId="10" xfId="0" applyFont="1" applyBorder="1" applyAlignment="1">
      <alignment horizontal="left" vertical="top" wrapText="1"/>
    </xf>
    <xf numFmtId="49" fontId="18" fillId="0" borderId="10" xfId="0" applyNumberFormat="1" applyFont="1" applyBorder="1" applyAlignment="1">
      <alignment horizontal="left" vertical="top" wrapText="1"/>
    </xf>
    <xf numFmtId="0" fontId="19" fillId="0" borderId="10" xfId="0" applyFont="1" applyBorder="1" applyAlignment="1">
      <alignment horizontal="left" vertical="top" wrapText="1"/>
    </xf>
    <xf numFmtId="0" fontId="20" fillId="33" borderId="11" xfId="0" applyFont="1" applyFill="1" applyBorder="1" applyAlignment="1">
      <alignment horizontal="left" vertical="center" wrapText="1"/>
    </xf>
    <xf numFmtId="0" fontId="20" fillId="33" borderId="11" xfId="0" applyFont="1" applyFill="1" applyBorder="1" applyAlignment="1">
      <alignment vertical="center" wrapText="1"/>
    </xf>
    <xf numFmtId="0" fontId="0" fillId="34" borderId="0" xfId="0" applyFill="1"/>
    <xf numFmtId="0" fontId="20" fillId="33" borderId="13" xfId="0" applyFont="1" applyFill="1" applyBorder="1" applyAlignment="1">
      <alignment horizontal="left" vertical="center" wrapText="1"/>
    </xf>
    <xf numFmtId="0" fontId="20" fillId="33" borderId="13" xfId="0" applyFont="1" applyFill="1" applyBorder="1" applyAlignment="1">
      <alignment vertical="center" wrapText="1"/>
    </xf>
    <xf numFmtId="0" fontId="20" fillId="34" borderId="12" xfId="0" applyFont="1" applyFill="1" applyBorder="1" applyAlignment="1">
      <alignment horizontal="left" vertical="center" wrapText="1"/>
    </xf>
    <xf numFmtId="0" fontId="0" fillId="34" borderId="12" xfId="0" applyFill="1" applyBorder="1"/>
    <xf numFmtId="0" fontId="20" fillId="34" borderId="12" xfId="0" applyFont="1" applyFill="1" applyBorder="1" applyAlignment="1">
      <alignment vertical="center" wrapText="1"/>
    </xf>
    <xf numFmtId="0" fontId="21" fillId="34" borderId="12" xfId="0" applyFont="1" applyFill="1" applyBorder="1"/>
    <xf numFmtId="0" fontId="21" fillId="0" borderId="0" xfId="0" applyFont="1"/>
    <xf numFmtId="0" fontId="19" fillId="35" borderId="10" xfId="0" applyFont="1" applyFill="1" applyBorder="1" applyAlignment="1">
      <alignment horizontal="left" vertical="top" wrapText="1"/>
    </xf>
    <xf numFmtId="0" fontId="0" fillId="35" borderId="0" xfId="0" applyFill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99"/>
  <sheetViews>
    <sheetView tabSelected="1" workbookViewId="0">
      <pane ySplit="1" topLeftCell="A19" activePane="bottomLeft" state="frozen"/>
      <selection pane="bottomLeft" activeCell="E22" sqref="E22"/>
    </sheetView>
  </sheetViews>
  <sheetFormatPr defaultColWidth="35.44140625" defaultRowHeight="14.4" x14ac:dyDescent="0.3"/>
  <cols>
    <col min="1" max="1" width="36.33203125" bestFit="1" customWidth="1"/>
    <col min="2" max="2" width="5.6640625" customWidth="1"/>
    <col min="3" max="3" width="36.5546875" bestFit="1" customWidth="1"/>
    <col min="4" max="4" width="14.109375" bestFit="1" customWidth="1"/>
    <col min="5" max="5" width="18.6640625" customWidth="1"/>
    <col min="6" max="6" width="21" customWidth="1"/>
    <col min="7" max="7" width="24.21875" customWidth="1"/>
    <col min="8" max="8" width="24.88671875" customWidth="1"/>
    <col min="9" max="9" width="21" customWidth="1"/>
    <col min="10" max="10" width="24.88671875" customWidth="1"/>
    <col min="11" max="11" width="17.21875" customWidth="1"/>
    <col min="12" max="12" width="29.109375" customWidth="1"/>
    <col min="13" max="13" width="13.77734375" style="15" bestFit="1" customWidth="1"/>
  </cols>
  <sheetData>
    <row r="1" spans="1:13" ht="55.8" thickBo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4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7308</v>
      </c>
    </row>
    <row r="2" spans="1:13" ht="83.4" thickBot="1" x14ac:dyDescent="0.35">
      <c r="A2" s="1" t="s">
        <v>17</v>
      </c>
      <c r="B2" s="1">
        <v>7594</v>
      </c>
      <c r="C2" s="1" t="s">
        <v>18</v>
      </c>
      <c r="D2" s="2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2" t="s">
        <v>25</v>
      </c>
      <c r="K2" s="2" t="s">
        <v>26</v>
      </c>
      <c r="L2" s="2" t="s">
        <v>27</v>
      </c>
      <c r="M2" s="3" t="str">
        <f>VLOOKUP(G2,справочник!$B$1:$C$94,2,0)</f>
        <v>МСК</v>
      </c>
    </row>
    <row r="3" spans="1:13" ht="97.2" thickBot="1" x14ac:dyDescent="0.35">
      <c r="A3" s="1" t="s">
        <v>33</v>
      </c>
      <c r="B3" s="1">
        <v>580</v>
      </c>
      <c r="C3" s="1" t="s">
        <v>34</v>
      </c>
      <c r="D3" s="2" t="s">
        <v>35</v>
      </c>
      <c r="E3" s="1" t="s">
        <v>29</v>
      </c>
      <c r="F3" s="1" t="s">
        <v>36</v>
      </c>
      <c r="G3" s="1" t="s">
        <v>37</v>
      </c>
      <c r="H3" s="1" t="s">
        <v>39</v>
      </c>
      <c r="I3" s="1" t="s">
        <v>40</v>
      </c>
      <c r="J3" s="2" t="s">
        <v>41</v>
      </c>
      <c r="K3" s="2" t="s">
        <v>42</v>
      </c>
      <c r="L3" s="2" t="s">
        <v>38</v>
      </c>
      <c r="M3" s="3" t="str">
        <f>VLOOKUP(G3,справочник!$B$1:$C$94,2,0)</f>
        <v>МСК+4</v>
      </c>
    </row>
    <row r="4" spans="1:13" ht="28.2" thickBot="1" x14ac:dyDescent="0.35">
      <c r="A4" s="1" t="s">
        <v>12</v>
      </c>
      <c r="B4" s="1">
        <v>7778</v>
      </c>
      <c r="C4" s="1" t="s">
        <v>45</v>
      </c>
      <c r="D4" s="2" t="s">
        <v>46</v>
      </c>
      <c r="E4" s="1" t="s">
        <v>29</v>
      </c>
      <c r="F4" s="1" t="s">
        <v>47</v>
      </c>
      <c r="G4" s="1" t="s">
        <v>48</v>
      </c>
      <c r="H4" s="1" t="s">
        <v>49</v>
      </c>
      <c r="I4" s="1" t="s">
        <v>50</v>
      </c>
      <c r="J4" s="2" t="s">
        <v>51</v>
      </c>
      <c r="K4" s="2" t="s">
        <v>52</v>
      </c>
      <c r="L4" s="2" t="s">
        <v>53</v>
      </c>
      <c r="M4" s="3" t="str">
        <f>VLOOKUP(G4,справочник!$B$1:$C$94,2,0)</f>
        <v>МСК+2</v>
      </c>
    </row>
    <row r="5" spans="1:13" ht="28.2" thickBot="1" x14ac:dyDescent="0.35">
      <c r="A5" s="1" t="s">
        <v>55</v>
      </c>
      <c r="B5" s="1">
        <v>7616</v>
      </c>
      <c r="C5" s="1" t="s">
        <v>56</v>
      </c>
      <c r="D5" s="2" t="s">
        <v>57</v>
      </c>
      <c r="E5" s="1" t="s">
        <v>20</v>
      </c>
      <c r="F5" s="1" t="s">
        <v>14</v>
      </c>
      <c r="G5" s="1" t="s">
        <v>15</v>
      </c>
      <c r="H5" s="1" t="s">
        <v>15</v>
      </c>
      <c r="I5" s="1" t="s">
        <v>59</v>
      </c>
      <c r="J5" s="2" t="s">
        <v>60</v>
      </c>
      <c r="K5" s="2" t="s">
        <v>61</v>
      </c>
      <c r="L5" s="2" t="s">
        <v>58</v>
      </c>
      <c r="M5" s="3" t="str">
        <f>VLOOKUP(G5,справочник!$B$1:$C$94,2,0)</f>
        <v>МСК</v>
      </c>
    </row>
    <row r="6" spans="1:13" ht="55.8" thickBot="1" x14ac:dyDescent="0.35">
      <c r="A6" s="1" t="s">
        <v>62</v>
      </c>
      <c r="B6" s="1">
        <v>7591</v>
      </c>
      <c r="C6" s="1" t="s">
        <v>63</v>
      </c>
      <c r="D6" s="2" t="s">
        <v>64</v>
      </c>
      <c r="E6" s="1" t="s">
        <v>20</v>
      </c>
      <c r="F6" s="1" t="s">
        <v>14</v>
      </c>
      <c r="G6" s="1" t="s">
        <v>43</v>
      </c>
      <c r="H6" s="1" t="s">
        <v>65</v>
      </c>
      <c r="I6" s="1" t="s">
        <v>66</v>
      </c>
      <c r="J6" s="2" t="s">
        <v>67</v>
      </c>
      <c r="K6" s="2" t="s">
        <v>68</v>
      </c>
      <c r="L6" s="2" t="s">
        <v>69</v>
      </c>
      <c r="M6" s="3" t="str">
        <f>VLOOKUP(G6,справочник!$B$1:$C$94,2,0)</f>
        <v>МСК</v>
      </c>
    </row>
    <row r="7" spans="1:13" ht="55.8" thickBot="1" x14ac:dyDescent="0.35">
      <c r="A7" s="1" t="s">
        <v>12</v>
      </c>
      <c r="B7" s="1">
        <v>7617</v>
      </c>
      <c r="C7" s="1" t="s">
        <v>70</v>
      </c>
      <c r="D7" s="2" t="s">
        <v>71</v>
      </c>
      <c r="E7" s="1" t="s">
        <v>20</v>
      </c>
      <c r="F7" s="1" t="s">
        <v>14</v>
      </c>
      <c r="G7" s="1" t="s">
        <v>15</v>
      </c>
      <c r="H7" s="1" t="s">
        <v>16</v>
      </c>
      <c r="I7" s="1" t="s">
        <v>73</v>
      </c>
      <c r="J7" s="2" t="s">
        <v>74</v>
      </c>
      <c r="K7" s="2" t="s">
        <v>75</v>
      </c>
      <c r="L7" s="2" t="s">
        <v>72</v>
      </c>
      <c r="M7" s="3" t="str">
        <f>VLOOKUP(G7,справочник!$B$1:$C$94,2,0)</f>
        <v>МСК</v>
      </c>
    </row>
    <row r="8" spans="1:13" ht="42" thickBot="1" x14ac:dyDescent="0.35">
      <c r="A8" s="1" t="s">
        <v>76</v>
      </c>
      <c r="B8" s="1">
        <v>7614</v>
      </c>
      <c r="C8" s="1" t="s">
        <v>77</v>
      </c>
      <c r="D8" s="2" t="s">
        <v>78</v>
      </c>
      <c r="E8" s="1" t="s">
        <v>20</v>
      </c>
      <c r="F8" s="1" t="s">
        <v>14</v>
      </c>
      <c r="G8" s="1" t="s">
        <v>15</v>
      </c>
      <c r="H8" s="1" t="s">
        <v>16</v>
      </c>
      <c r="I8" s="1" t="s">
        <v>81</v>
      </c>
      <c r="J8" s="2" t="s">
        <v>82</v>
      </c>
      <c r="K8" s="2" t="s">
        <v>79</v>
      </c>
      <c r="L8" s="2" t="s">
        <v>80</v>
      </c>
      <c r="M8" s="3" t="str">
        <f>VLOOKUP(G8,справочник!$B$1:$C$94,2,0)</f>
        <v>МСК</v>
      </c>
    </row>
    <row r="9" spans="1:13" ht="28.2" thickBot="1" x14ac:dyDescent="0.35">
      <c r="A9" s="1" t="s">
        <v>83</v>
      </c>
      <c r="B9" s="1">
        <v>7579</v>
      </c>
      <c r="C9" s="1" t="s">
        <v>84</v>
      </c>
      <c r="D9" s="2" t="s">
        <v>85</v>
      </c>
      <c r="E9" s="1" t="s">
        <v>86</v>
      </c>
      <c r="F9" s="1" t="s">
        <v>14</v>
      </c>
      <c r="G9" s="1" t="s">
        <v>43</v>
      </c>
      <c r="H9" s="1" t="s">
        <v>87</v>
      </c>
      <c r="I9" s="1" t="s">
        <v>88</v>
      </c>
      <c r="J9" s="2" t="s">
        <v>89</v>
      </c>
      <c r="K9" s="2" t="s">
        <v>90</v>
      </c>
      <c r="L9" s="2" t="s">
        <v>91</v>
      </c>
      <c r="M9" s="3" t="str">
        <f>VLOOKUP(G9,справочник!$B$1:$C$94,2,0)</f>
        <v>МСК</v>
      </c>
    </row>
    <row r="10" spans="1:13" ht="124.8" thickBot="1" x14ac:dyDescent="0.35">
      <c r="A10" s="1" t="s">
        <v>83</v>
      </c>
      <c r="B10" s="1">
        <v>4009</v>
      </c>
      <c r="C10" s="1" t="s">
        <v>93</v>
      </c>
      <c r="D10" s="2" t="s">
        <v>94</v>
      </c>
      <c r="E10" s="1" t="s">
        <v>20</v>
      </c>
      <c r="F10" s="1" t="s">
        <v>30</v>
      </c>
      <c r="G10" s="1" t="s">
        <v>95</v>
      </c>
      <c r="H10" s="1" t="s">
        <v>96</v>
      </c>
      <c r="I10" s="1" t="s">
        <v>97</v>
      </c>
      <c r="J10" s="2" t="s">
        <v>98</v>
      </c>
      <c r="K10" s="2" t="s">
        <v>99</v>
      </c>
      <c r="L10" s="2" t="s">
        <v>100</v>
      </c>
      <c r="M10" s="3" t="str">
        <f>VLOOKUP(G10,справочник!$B$1:$C$94,2,0)</f>
        <v>МСК</v>
      </c>
    </row>
    <row r="11" spans="1:13" ht="42" thickBot="1" x14ac:dyDescent="0.35">
      <c r="A11" s="1" t="s">
        <v>101</v>
      </c>
      <c r="B11" s="1">
        <v>7546</v>
      </c>
      <c r="C11" s="1" t="s">
        <v>102</v>
      </c>
      <c r="D11" s="2" t="s">
        <v>103</v>
      </c>
      <c r="E11" s="1" t="s">
        <v>104</v>
      </c>
      <c r="F11" s="1" t="s">
        <v>21</v>
      </c>
      <c r="G11" s="1" t="s">
        <v>22</v>
      </c>
      <c r="H11" s="1" t="s">
        <v>23</v>
      </c>
      <c r="I11" s="1" t="s">
        <v>106</v>
      </c>
      <c r="J11" s="2" t="s">
        <v>107</v>
      </c>
      <c r="K11" s="2" t="s">
        <v>108</v>
      </c>
      <c r="L11" s="2" t="s">
        <v>105</v>
      </c>
      <c r="M11" s="3" t="str">
        <f>VLOOKUP(G11,справочник!$B$1:$C$94,2,0)</f>
        <v>МСК</v>
      </c>
    </row>
    <row r="12" spans="1:13" ht="42" thickBot="1" x14ac:dyDescent="0.35">
      <c r="A12" s="1" t="s">
        <v>12</v>
      </c>
      <c r="B12" s="1">
        <v>7754</v>
      </c>
      <c r="C12" s="1" t="s">
        <v>112</v>
      </c>
      <c r="D12" s="2" t="s">
        <v>113</v>
      </c>
      <c r="E12" s="1" t="s">
        <v>29</v>
      </c>
      <c r="F12" s="1" t="s">
        <v>114</v>
      </c>
      <c r="G12" s="1" t="s">
        <v>115</v>
      </c>
      <c r="H12" s="1" t="s">
        <v>117</v>
      </c>
      <c r="I12" s="1" t="s">
        <v>118</v>
      </c>
      <c r="J12" s="2" t="s">
        <v>119</v>
      </c>
      <c r="K12" s="2" t="s">
        <v>120</v>
      </c>
      <c r="L12" s="2" t="s">
        <v>116</v>
      </c>
      <c r="M12" s="3" t="str">
        <f>VLOOKUP(G12,справочник!$B$1:$C$94,2,0)</f>
        <v>МСК+9</v>
      </c>
    </row>
    <row r="13" spans="1:13" ht="28.2" thickBot="1" x14ac:dyDescent="0.35">
      <c r="A13" s="1" t="s">
        <v>12</v>
      </c>
      <c r="B13" s="1">
        <v>7323</v>
      </c>
      <c r="C13" s="1" t="s">
        <v>123</v>
      </c>
      <c r="D13" s="2" t="s">
        <v>124</v>
      </c>
      <c r="E13" s="1" t="s">
        <v>29</v>
      </c>
      <c r="F13" s="1" t="s">
        <v>47</v>
      </c>
      <c r="G13" s="1" t="s">
        <v>125</v>
      </c>
      <c r="H13" s="1" t="s">
        <v>126</v>
      </c>
      <c r="I13" s="1" t="s">
        <v>127</v>
      </c>
      <c r="J13" s="2" t="s">
        <v>128</v>
      </c>
      <c r="K13" s="2" t="s">
        <v>129</v>
      </c>
      <c r="L13" s="2" t="s">
        <v>130</v>
      </c>
      <c r="M13" s="3" t="str">
        <f>VLOOKUP(G13,справочник!$B$1:$C$94,2,0)</f>
        <v>МСК+2</v>
      </c>
    </row>
    <row r="14" spans="1:13" ht="83.4" thickBot="1" x14ac:dyDescent="0.35">
      <c r="A14" s="1" t="s">
        <v>131</v>
      </c>
      <c r="B14" s="1">
        <v>7568</v>
      </c>
      <c r="C14" s="1" t="s">
        <v>132</v>
      </c>
      <c r="D14" s="2" t="s">
        <v>133</v>
      </c>
      <c r="E14" s="1" t="s">
        <v>20</v>
      </c>
      <c r="F14" s="1" t="s">
        <v>14</v>
      </c>
      <c r="G14" s="1" t="s">
        <v>15</v>
      </c>
      <c r="H14" s="1" t="s">
        <v>16</v>
      </c>
      <c r="I14" s="1" t="s">
        <v>135</v>
      </c>
      <c r="J14" s="2" t="s">
        <v>136</v>
      </c>
      <c r="K14" s="2" t="s">
        <v>137</v>
      </c>
      <c r="L14" s="2" t="s">
        <v>134</v>
      </c>
      <c r="M14" s="3" t="str">
        <f>VLOOKUP(G14,справочник!$B$1:$C$94,2,0)</f>
        <v>МСК</v>
      </c>
    </row>
    <row r="15" spans="1:13" ht="42" thickBot="1" x14ac:dyDescent="0.35">
      <c r="A15" s="1" t="s">
        <v>138</v>
      </c>
      <c r="B15" s="1">
        <v>7603</v>
      </c>
      <c r="C15" s="1" t="s">
        <v>139</v>
      </c>
      <c r="D15" s="2" t="s">
        <v>140</v>
      </c>
      <c r="E15" s="1" t="s">
        <v>141</v>
      </c>
      <c r="F15" s="1" t="s">
        <v>14</v>
      </c>
      <c r="G15" s="1" t="s">
        <v>15</v>
      </c>
      <c r="H15" s="1" t="s">
        <v>16</v>
      </c>
      <c r="I15" s="1" t="s">
        <v>142</v>
      </c>
      <c r="J15" s="2" t="s">
        <v>143</v>
      </c>
      <c r="K15" s="2" t="s">
        <v>144</v>
      </c>
      <c r="L15" s="2" t="s">
        <v>145</v>
      </c>
      <c r="M15" s="3" t="str">
        <f>VLOOKUP(G15,справочник!$B$1:$C$94,2,0)</f>
        <v>МСК</v>
      </c>
    </row>
    <row r="16" spans="1:13" ht="42" thickBot="1" x14ac:dyDescent="0.35">
      <c r="A16" s="1" t="s">
        <v>146</v>
      </c>
      <c r="B16" s="1">
        <v>2334</v>
      </c>
      <c r="C16" s="1" t="s">
        <v>147</v>
      </c>
      <c r="D16" s="2" t="s">
        <v>148</v>
      </c>
      <c r="E16" s="1" t="s">
        <v>20</v>
      </c>
      <c r="F16" s="1" t="s">
        <v>21</v>
      </c>
      <c r="G16" s="1" t="s">
        <v>22</v>
      </c>
      <c r="H16" s="1" t="s">
        <v>149</v>
      </c>
      <c r="I16" s="1" t="s">
        <v>150</v>
      </c>
      <c r="J16" s="2" t="s">
        <v>151</v>
      </c>
      <c r="K16" s="2" t="s">
        <v>152</v>
      </c>
      <c r="L16" s="2" t="s">
        <v>153</v>
      </c>
      <c r="M16" s="3" t="str">
        <f>VLOOKUP(G16,справочник!$B$1:$C$94,2,0)</f>
        <v>МСК</v>
      </c>
    </row>
    <row r="17" spans="1:13" ht="42" thickBot="1" x14ac:dyDescent="0.35">
      <c r="A17" s="1" t="s">
        <v>146</v>
      </c>
      <c r="B17" s="1">
        <v>1911</v>
      </c>
      <c r="C17" s="1" t="s">
        <v>154</v>
      </c>
      <c r="D17" s="2" t="s">
        <v>155</v>
      </c>
      <c r="E17" s="1" t="s">
        <v>20</v>
      </c>
      <c r="F17" s="1" t="s">
        <v>30</v>
      </c>
      <c r="G17" s="1" t="s">
        <v>31</v>
      </c>
      <c r="H17" s="1" t="s">
        <v>32</v>
      </c>
      <c r="I17" s="1" t="s">
        <v>156</v>
      </c>
      <c r="J17" s="2" t="s">
        <v>157</v>
      </c>
      <c r="K17" s="2" t="s">
        <v>158</v>
      </c>
      <c r="L17" s="2" t="s">
        <v>159</v>
      </c>
      <c r="M17" s="3" t="str">
        <f>VLOOKUP(G17,справочник!$B$1:$C$94,2,0)</f>
        <v>МСК</v>
      </c>
    </row>
    <row r="18" spans="1:13" ht="42" thickBot="1" x14ac:dyDescent="0.35">
      <c r="A18" s="1" t="s">
        <v>146</v>
      </c>
      <c r="B18" s="1">
        <v>1</v>
      </c>
      <c r="C18" s="1" t="s">
        <v>160</v>
      </c>
      <c r="D18" s="2" t="s">
        <v>161</v>
      </c>
      <c r="E18" s="1" t="s">
        <v>29</v>
      </c>
      <c r="F18" s="1" t="s">
        <v>21</v>
      </c>
      <c r="G18" s="1" t="s">
        <v>162</v>
      </c>
      <c r="H18" s="1" t="s">
        <v>163</v>
      </c>
      <c r="I18" s="1" t="s">
        <v>164</v>
      </c>
      <c r="J18" s="2" t="s">
        <v>165</v>
      </c>
      <c r="K18" s="2" t="s">
        <v>166</v>
      </c>
      <c r="L18" s="2" t="s">
        <v>167</v>
      </c>
      <c r="M18" s="3" t="str">
        <f>VLOOKUP(G18,справочник!$B$1:$C$94,2,0)</f>
        <v>МСК</v>
      </c>
    </row>
    <row r="19" spans="1:13" ht="42" thickBot="1" x14ac:dyDescent="0.35">
      <c r="A19" s="1" t="s">
        <v>168</v>
      </c>
      <c r="B19" s="1">
        <v>4109</v>
      </c>
      <c r="C19" s="1" t="s">
        <v>169</v>
      </c>
      <c r="D19" s="2" t="s">
        <v>170</v>
      </c>
      <c r="E19" s="1" t="s">
        <v>29</v>
      </c>
      <c r="F19" s="1" t="s">
        <v>21</v>
      </c>
      <c r="G19" s="1" t="s">
        <v>171</v>
      </c>
      <c r="H19" s="1" t="s">
        <v>172</v>
      </c>
      <c r="I19" s="1" t="s">
        <v>173</v>
      </c>
      <c r="J19" s="2" t="s">
        <v>174</v>
      </c>
      <c r="K19" s="2" t="s">
        <v>175</v>
      </c>
      <c r="L19" s="2" t="s">
        <v>176</v>
      </c>
      <c r="M19" s="3" t="str">
        <f>VLOOKUP(G19,справочник!$B$1:$C$94,2,0)</f>
        <v>МСК</v>
      </c>
    </row>
    <row r="20" spans="1:13" ht="42" thickBot="1" x14ac:dyDescent="0.35">
      <c r="A20" s="1" t="s">
        <v>177</v>
      </c>
      <c r="B20" s="1">
        <v>2220</v>
      </c>
      <c r="C20" s="1" t="s">
        <v>178</v>
      </c>
      <c r="D20" s="2" t="s">
        <v>179</v>
      </c>
      <c r="E20" s="1" t="s">
        <v>29</v>
      </c>
      <c r="F20" s="1" t="s">
        <v>14</v>
      </c>
      <c r="G20" s="1" t="s">
        <v>15</v>
      </c>
      <c r="H20" s="1" t="s">
        <v>16</v>
      </c>
      <c r="I20" s="1" t="s">
        <v>180</v>
      </c>
      <c r="J20" s="2" t="s">
        <v>181</v>
      </c>
      <c r="K20" s="2" t="s">
        <v>182</v>
      </c>
      <c r="L20" s="2" t="s">
        <v>183</v>
      </c>
      <c r="M20" s="3" t="str">
        <f>VLOOKUP(G20,справочник!$B$1:$C$94,2,0)</f>
        <v>МСК</v>
      </c>
    </row>
    <row r="21" spans="1:13" ht="83.4" thickBot="1" x14ac:dyDescent="0.35">
      <c r="A21" s="1" t="s">
        <v>33</v>
      </c>
      <c r="B21" s="1">
        <v>1142</v>
      </c>
      <c r="C21" s="1" t="s">
        <v>184</v>
      </c>
      <c r="D21" s="2" t="s">
        <v>185</v>
      </c>
      <c r="E21" s="1" t="s">
        <v>29</v>
      </c>
      <c r="F21" s="1" t="s">
        <v>14</v>
      </c>
      <c r="G21" s="1" t="s">
        <v>15</v>
      </c>
      <c r="H21" s="1" t="s">
        <v>16</v>
      </c>
      <c r="I21" s="1" t="s">
        <v>187</v>
      </c>
      <c r="J21" s="2" t="s">
        <v>188</v>
      </c>
      <c r="K21" s="2" t="s">
        <v>189</v>
      </c>
      <c r="L21" s="2" t="s">
        <v>186</v>
      </c>
      <c r="M21" s="3" t="str">
        <f>VLOOKUP(G21,справочник!$B$1:$C$94,2,0)</f>
        <v>МСК</v>
      </c>
    </row>
    <row r="22" spans="1:13" ht="83.4" thickBot="1" x14ac:dyDescent="0.35">
      <c r="A22" s="1" t="s">
        <v>33</v>
      </c>
      <c r="B22" s="1">
        <v>715</v>
      </c>
      <c r="C22" s="1" t="s">
        <v>190</v>
      </c>
      <c r="D22" s="2" t="s">
        <v>191</v>
      </c>
      <c r="E22" s="1" t="s">
        <v>29</v>
      </c>
      <c r="F22" s="1" t="s">
        <v>14</v>
      </c>
      <c r="G22" s="1" t="s">
        <v>43</v>
      </c>
      <c r="H22" s="1" t="s">
        <v>192</v>
      </c>
      <c r="I22" s="1" t="s">
        <v>193</v>
      </c>
      <c r="J22" s="2" t="s">
        <v>194</v>
      </c>
      <c r="K22" s="2" t="s">
        <v>195</v>
      </c>
      <c r="L22" s="2" t="s">
        <v>196</v>
      </c>
      <c r="M22" s="3" t="str">
        <f>VLOOKUP(G22,справочник!$B$1:$C$94,2,0)</f>
        <v>МСК</v>
      </c>
    </row>
    <row r="23" spans="1:13" ht="42" thickBot="1" x14ac:dyDescent="0.35">
      <c r="A23" s="1" t="s">
        <v>12</v>
      </c>
      <c r="B23" s="1">
        <v>2861</v>
      </c>
      <c r="C23" s="1" t="s">
        <v>197</v>
      </c>
      <c r="D23" s="2" t="s">
        <v>198</v>
      </c>
      <c r="E23" s="1" t="s">
        <v>29</v>
      </c>
      <c r="F23" s="1" t="s">
        <v>21</v>
      </c>
      <c r="G23" s="1" t="s">
        <v>199</v>
      </c>
      <c r="H23" s="1" t="s">
        <v>200</v>
      </c>
      <c r="I23" s="1" t="s">
        <v>201</v>
      </c>
      <c r="J23" s="2" t="s">
        <v>202</v>
      </c>
      <c r="K23" s="2" t="s">
        <v>203</v>
      </c>
      <c r="L23" s="2" t="s">
        <v>204</v>
      </c>
      <c r="M23" s="3" t="str">
        <f>VLOOKUP(G23,справочник!$B$1:$C$94,2,0)</f>
        <v>МСК</v>
      </c>
    </row>
    <row r="24" spans="1:13" ht="42" thickBot="1" x14ac:dyDescent="0.35">
      <c r="A24" s="1" t="s">
        <v>205</v>
      </c>
      <c r="B24" s="1">
        <v>624</v>
      </c>
      <c r="C24" s="1" t="s">
        <v>206</v>
      </c>
      <c r="D24" s="2" t="s">
        <v>207</v>
      </c>
      <c r="E24" s="1" t="s">
        <v>29</v>
      </c>
      <c r="F24" s="1" t="s">
        <v>14</v>
      </c>
      <c r="G24" s="1" t="s">
        <v>208</v>
      </c>
      <c r="H24" s="1" t="s">
        <v>210</v>
      </c>
      <c r="I24" s="1" t="s">
        <v>211</v>
      </c>
      <c r="J24" s="2" t="s">
        <v>212</v>
      </c>
      <c r="K24" s="2" t="s">
        <v>209</v>
      </c>
      <c r="L24" s="2" t="s">
        <v>213</v>
      </c>
      <c r="M24" s="3" t="str">
        <f>VLOOKUP(G24,справочник!$B$1:$C$94,2,0)</f>
        <v>МСК</v>
      </c>
    </row>
    <row r="25" spans="1:13" ht="42" thickBot="1" x14ac:dyDescent="0.35">
      <c r="A25" s="1" t="s">
        <v>177</v>
      </c>
      <c r="B25" s="1">
        <v>2236</v>
      </c>
      <c r="C25" s="1" t="s">
        <v>214</v>
      </c>
      <c r="D25" s="2" t="s">
        <v>215</v>
      </c>
      <c r="E25" s="1" t="s">
        <v>29</v>
      </c>
      <c r="F25" s="1" t="s">
        <v>30</v>
      </c>
      <c r="G25" s="1" t="s">
        <v>31</v>
      </c>
      <c r="H25" s="1" t="s">
        <v>31</v>
      </c>
      <c r="I25" s="1" t="s">
        <v>217</v>
      </c>
      <c r="J25" s="2" t="s">
        <v>218</v>
      </c>
      <c r="K25" s="2" t="s">
        <v>219</v>
      </c>
      <c r="L25" s="2" t="s">
        <v>216</v>
      </c>
      <c r="M25" s="3" t="str">
        <f>VLOOKUP(G25,справочник!$B$1:$C$94,2,0)</f>
        <v>МСК</v>
      </c>
    </row>
    <row r="26" spans="1:13" ht="42" thickBot="1" x14ac:dyDescent="0.35">
      <c r="A26" s="1" t="s">
        <v>12</v>
      </c>
      <c r="B26" s="1">
        <v>3255</v>
      </c>
      <c r="C26" s="1" t="s">
        <v>220</v>
      </c>
      <c r="D26" s="2" t="s">
        <v>221</v>
      </c>
      <c r="E26" s="1" t="s">
        <v>29</v>
      </c>
      <c r="F26" s="1" t="s">
        <v>222</v>
      </c>
      <c r="G26" s="1" t="s">
        <v>223</v>
      </c>
      <c r="H26" s="1" t="s">
        <v>224</v>
      </c>
      <c r="I26" s="1" t="s">
        <v>225</v>
      </c>
      <c r="J26" s="2" t="s">
        <v>226</v>
      </c>
      <c r="K26" s="2" t="s">
        <v>227</v>
      </c>
      <c r="L26" s="2" t="s">
        <v>228</v>
      </c>
      <c r="M26" s="3" t="str">
        <f>VLOOKUP(G26,справочник!$B$1:$C$94,2,0)</f>
        <v>МСК</v>
      </c>
    </row>
    <row r="27" spans="1:13" ht="69.599999999999994" thickBot="1" x14ac:dyDescent="0.35">
      <c r="A27" s="1" t="s">
        <v>76</v>
      </c>
      <c r="B27" s="1">
        <v>7618</v>
      </c>
      <c r="C27" s="1" t="s">
        <v>229</v>
      </c>
      <c r="D27" s="2" t="s">
        <v>230</v>
      </c>
      <c r="E27" s="1" t="s">
        <v>13</v>
      </c>
      <c r="F27" s="1" t="s">
        <v>14</v>
      </c>
      <c r="G27" s="1" t="s">
        <v>15</v>
      </c>
      <c r="H27" s="1" t="s">
        <v>16</v>
      </c>
      <c r="I27" s="1" t="s">
        <v>231</v>
      </c>
      <c r="J27" s="2" t="s">
        <v>232</v>
      </c>
      <c r="K27" s="2" t="s">
        <v>233</v>
      </c>
      <c r="L27" s="2" t="s">
        <v>234</v>
      </c>
      <c r="M27" s="3" t="str">
        <f>VLOOKUP(G27,справочник!$B$1:$C$94,2,0)</f>
        <v>МСК</v>
      </c>
    </row>
    <row r="28" spans="1:13" ht="42" thickBot="1" x14ac:dyDescent="0.35">
      <c r="A28" s="1" t="s">
        <v>12</v>
      </c>
      <c r="B28" s="1">
        <v>915</v>
      </c>
      <c r="C28" s="1" t="s">
        <v>235</v>
      </c>
      <c r="D28" s="2" t="s">
        <v>236</v>
      </c>
      <c r="E28" s="1" t="s">
        <v>29</v>
      </c>
      <c r="F28" s="1" t="s">
        <v>14</v>
      </c>
      <c r="G28" s="1" t="s">
        <v>15</v>
      </c>
      <c r="H28" s="1" t="s">
        <v>16</v>
      </c>
      <c r="I28" s="1" t="s">
        <v>237</v>
      </c>
      <c r="J28" s="2" t="s">
        <v>238</v>
      </c>
      <c r="K28" s="2" t="s">
        <v>239</v>
      </c>
      <c r="L28" s="2" t="s">
        <v>240</v>
      </c>
      <c r="M28" s="3" t="str">
        <f>VLOOKUP(G28,справочник!$B$1:$C$94,2,0)</f>
        <v>МСК</v>
      </c>
    </row>
    <row r="29" spans="1:13" ht="28.2" thickBot="1" x14ac:dyDescent="0.35">
      <c r="A29" s="1" t="s">
        <v>12</v>
      </c>
      <c r="B29" s="1">
        <v>6739</v>
      </c>
      <c r="C29" s="1" t="s">
        <v>241</v>
      </c>
      <c r="D29" s="2" t="s">
        <v>242</v>
      </c>
      <c r="E29" s="1" t="s">
        <v>29</v>
      </c>
      <c r="F29" s="1" t="s">
        <v>47</v>
      </c>
      <c r="G29" s="1" t="s">
        <v>48</v>
      </c>
      <c r="H29" s="1" t="s">
        <v>49</v>
      </c>
      <c r="I29" s="1" t="s">
        <v>243</v>
      </c>
      <c r="J29" s="2" t="s">
        <v>244</v>
      </c>
      <c r="K29" s="2" t="s">
        <v>245</v>
      </c>
      <c r="L29" s="2" t="s">
        <v>246</v>
      </c>
      <c r="M29" s="3" t="str">
        <f>VLOOKUP(G29,справочник!$B$1:$C$94,2,0)</f>
        <v>МСК+2</v>
      </c>
    </row>
    <row r="30" spans="1:13" ht="42" thickBot="1" x14ac:dyDescent="0.35">
      <c r="A30" s="1" t="s">
        <v>12</v>
      </c>
      <c r="B30" s="1">
        <v>2189</v>
      </c>
      <c r="C30" s="1" t="s">
        <v>247</v>
      </c>
      <c r="D30" s="2" t="s">
        <v>248</v>
      </c>
      <c r="E30" s="1" t="s">
        <v>29</v>
      </c>
      <c r="F30" s="1" t="s">
        <v>14</v>
      </c>
      <c r="G30" s="1" t="s">
        <v>15</v>
      </c>
      <c r="H30" s="1" t="s">
        <v>16</v>
      </c>
      <c r="I30" s="1" t="s">
        <v>249</v>
      </c>
      <c r="J30" s="2" t="s">
        <v>250</v>
      </c>
      <c r="K30" s="2" t="s">
        <v>251</v>
      </c>
      <c r="L30" s="2" t="s">
        <v>252</v>
      </c>
      <c r="M30" s="3" t="str">
        <f>VLOOKUP(G30,справочник!$B$1:$C$94,2,0)</f>
        <v>МСК</v>
      </c>
    </row>
    <row r="31" spans="1:13" ht="28.2" thickBot="1" x14ac:dyDescent="0.35">
      <c r="A31" s="1" t="s">
        <v>177</v>
      </c>
      <c r="B31" s="1">
        <v>752</v>
      </c>
      <c r="C31" s="1" t="s">
        <v>255</v>
      </c>
      <c r="D31" s="2" t="s">
        <v>256</v>
      </c>
      <c r="E31" s="1" t="s">
        <v>29</v>
      </c>
      <c r="F31" s="1" t="s">
        <v>14</v>
      </c>
      <c r="G31" s="1" t="s">
        <v>15</v>
      </c>
      <c r="H31" s="1" t="s">
        <v>16</v>
      </c>
      <c r="I31" s="1" t="s">
        <v>257</v>
      </c>
      <c r="J31" s="2" t="s">
        <v>258</v>
      </c>
      <c r="K31" s="2" t="s">
        <v>259</v>
      </c>
      <c r="L31" s="2" t="s">
        <v>260</v>
      </c>
      <c r="M31" s="3" t="str">
        <f>VLOOKUP(G31,справочник!$B$1:$C$94,2,0)</f>
        <v>МСК</v>
      </c>
    </row>
    <row r="32" spans="1:13" ht="42" thickBot="1" x14ac:dyDescent="0.35">
      <c r="A32" s="1" t="s">
        <v>261</v>
      </c>
      <c r="B32" s="1">
        <v>790</v>
      </c>
      <c r="C32" s="1" t="s">
        <v>262</v>
      </c>
      <c r="D32" s="2" t="s">
        <v>263</v>
      </c>
      <c r="E32" s="1" t="s">
        <v>29</v>
      </c>
      <c r="F32" s="1" t="s">
        <v>36</v>
      </c>
      <c r="G32" s="1" t="s">
        <v>264</v>
      </c>
      <c r="H32" s="1" t="s">
        <v>266</v>
      </c>
      <c r="I32" s="1" t="s">
        <v>267</v>
      </c>
      <c r="J32" s="2" t="s">
        <v>268</v>
      </c>
      <c r="K32" s="2" t="s">
        <v>269</v>
      </c>
      <c r="L32" s="2" t="s">
        <v>265</v>
      </c>
      <c r="M32" s="3" t="str">
        <f>VLOOKUP(G32,справочник!$B$1:$C$94,2,0)</f>
        <v>МСК+4</v>
      </c>
    </row>
    <row r="33" spans="1:13" ht="28.2" thickBot="1" x14ac:dyDescent="0.35">
      <c r="A33" s="1" t="s">
        <v>177</v>
      </c>
      <c r="B33" s="1">
        <v>759</v>
      </c>
      <c r="C33" s="1" t="s">
        <v>270</v>
      </c>
      <c r="D33" s="2" t="s">
        <v>271</v>
      </c>
      <c r="E33" s="1" t="s">
        <v>29</v>
      </c>
      <c r="F33" s="1" t="s">
        <v>36</v>
      </c>
      <c r="G33" s="1" t="s">
        <v>264</v>
      </c>
      <c r="H33" s="1" t="s">
        <v>266</v>
      </c>
      <c r="I33" s="1" t="s">
        <v>273</v>
      </c>
      <c r="J33" s="2" t="s">
        <v>274</v>
      </c>
      <c r="K33" s="2" t="s">
        <v>275</v>
      </c>
      <c r="L33" s="2" t="s">
        <v>272</v>
      </c>
      <c r="M33" s="3" t="str">
        <f>VLOOKUP(G33,справочник!$B$1:$C$94,2,0)</f>
        <v>МСК+4</v>
      </c>
    </row>
    <row r="34" spans="1:13" ht="42" thickBot="1" x14ac:dyDescent="0.35">
      <c r="A34" s="1" t="s">
        <v>131</v>
      </c>
      <c r="B34" s="1">
        <v>581</v>
      </c>
      <c r="C34" s="1" t="s">
        <v>276</v>
      </c>
      <c r="D34" s="2" t="s">
        <v>277</v>
      </c>
      <c r="E34" s="1" t="s">
        <v>29</v>
      </c>
      <c r="F34" s="1" t="s">
        <v>36</v>
      </c>
      <c r="G34" s="1" t="s">
        <v>264</v>
      </c>
      <c r="H34" s="1" t="s">
        <v>266</v>
      </c>
      <c r="I34" s="1" t="s">
        <v>279</v>
      </c>
      <c r="J34" s="2" t="s">
        <v>280</v>
      </c>
      <c r="K34" s="2" t="s">
        <v>281</v>
      </c>
      <c r="L34" s="2" t="s">
        <v>278</v>
      </c>
      <c r="M34" s="3" t="str">
        <f>VLOOKUP(G34,справочник!$B$1:$C$94,2,0)</f>
        <v>МСК+4</v>
      </c>
    </row>
    <row r="35" spans="1:13" ht="28.2" thickBot="1" x14ac:dyDescent="0.35">
      <c r="A35" s="1" t="s">
        <v>168</v>
      </c>
      <c r="B35" s="1">
        <v>2</v>
      </c>
      <c r="C35" s="1" t="s">
        <v>282</v>
      </c>
      <c r="D35" s="2" t="s">
        <v>283</v>
      </c>
      <c r="E35" s="1" t="s">
        <v>29</v>
      </c>
      <c r="F35" s="1" t="s">
        <v>36</v>
      </c>
      <c r="G35" s="1" t="s">
        <v>264</v>
      </c>
      <c r="H35" s="1" t="s">
        <v>266</v>
      </c>
      <c r="I35" s="1" t="s">
        <v>284</v>
      </c>
      <c r="J35" s="2" t="s">
        <v>285</v>
      </c>
      <c r="K35" s="2" t="s">
        <v>286</v>
      </c>
      <c r="L35" s="2" t="s">
        <v>287</v>
      </c>
      <c r="M35" s="3" t="str">
        <f>VLOOKUP(G35,справочник!$B$1:$C$94,2,0)</f>
        <v>МСК+4</v>
      </c>
    </row>
    <row r="36" spans="1:13" ht="42" thickBot="1" x14ac:dyDescent="0.35">
      <c r="A36" s="1" t="s">
        <v>146</v>
      </c>
      <c r="B36" s="1">
        <v>3</v>
      </c>
      <c r="C36" s="1" t="s">
        <v>288</v>
      </c>
      <c r="D36" s="2" t="s">
        <v>289</v>
      </c>
      <c r="E36" s="1" t="s">
        <v>29</v>
      </c>
      <c r="F36" s="1" t="s">
        <v>36</v>
      </c>
      <c r="G36" s="1" t="s">
        <v>264</v>
      </c>
      <c r="H36" s="1" t="s">
        <v>266</v>
      </c>
      <c r="I36" s="1" t="s">
        <v>290</v>
      </c>
      <c r="J36" s="2" t="s">
        <v>232</v>
      </c>
      <c r="K36" s="2" t="s">
        <v>291</v>
      </c>
      <c r="L36" s="2" t="s">
        <v>292</v>
      </c>
      <c r="M36" s="3" t="str">
        <f>VLOOKUP(G36,справочник!$B$1:$C$94,2,0)</f>
        <v>МСК+4</v>
      </c>
    </row>
    <row r="37" spans="1:13" ht="42" thickBot="1" x14ac:dyDescent="0.35">
      <c r="A37" s="1" t="s">
        <v>146</v>
      </c>
      <c r="B37" s="1">
        <v>4</v>
      </c>
      <c r="C37" s="1" t="s">
        <v>293</v>
      </c>
      <c r="D37" s="2" t="s">
        <v>294</v>
      </c>
      <c r="E37" s="1" t="s">
        <v>29</v>
      </c>
      <c r="F37" s="1" t="s">
        <v>36</v>
      </c>
      <c r="G37" s="1" t="s">
        <v>264</v>
      </c>
      <c r="H37" s="1" t="s">
        <v>266</v>
      </c>
      <c r="I37" s="1" t="s">
        <v>295</v>
      </c>
      <c r="J37" s="2" t="s">
        <v>296</v>
      </c>
      <c r="K37" s="2" t="s">
        <v>297</v>
      </c>
      <c r="L37" s="2" t="s">
        <v>298</v>
      </c>
      <c r="M37" s="3" t="str">
        <f>VLOOKUP(G37,справочник!$B$1:$C$94,2,0)</f>
        <v>МСК+4</v>
      </c>
    </row>
    <row r="38" spans="1:13" ht="42" thickBot="1" x14ac:dyDescent="0.35">
      <c r="A38" s="1" t="s">
        <v>54</v>
      </c>
      <c r="B38" s="1">
        <v>3326</v>
      </c>
      <c r="C38" s="1" t="s">
        <v>299</v>
      </c>
      <c r="D38" s="2" t="s">
        <v>300</v>
      </c>
      <c r="E38" s="1" t="s">
        <v>29</v>
      </c>
      <c r="F38" s="1" t="s">
        <v>222</v>
      </c>
      <c r="G38" s="1" t="s">
        <v>223</v>
      </c>
      <c r="H38" s="1" t="s">
        <v>301</v>
      </c>
      <c r="I38" s="1" t="s">
        <v>302</v>
      </c>
      <c r="J38" s="2" t="s">
        <v>303</v>
      </c>
      <c r="K38" s="2" t="s">
        <v>304</v>
      </c>
      <c r="L38" s="2" t="s">
        <v>305</v>
      </c>
      <c r="M38" s="3" t="str">
        <f>VLOOKUP(G38,справочник!$B$1:$C$94,2,0)</f>
        <v>МСК</v>
      </c>
    </row>
    <row r="39" spans="1:13" ht="69.599999999999994" thickBot="1" x14ac:dyDescent="0.35">
      <c r="A39" s="1" t="s">
        <v>131</v>
      </c>
      <c r="B39" s="1">
        <v>556</v>
      </c>
      <c r="C39" s="1" t="s">
        <v>306</v>
      </c>
      <c r="D39" s="2" t="s">
        <v>307</v>
      </c>
      <c r="E39" s="1" t="s">
        <v>29</v>
      </c>
      <c r="F39" s="1" t="s">
        <v>114</v>
      </c>
      <c r="G39" s="1" t="s">
        <v>308</v>
      </c>
      <c r="H39" s="1" t="s">
        <v>309</v>
      </c>
      <c r="I39" s="1" t="s">
        <v>310</v>
      </c>
      <c r="J39" s="2" t="s">
        <v>311</v>
      </c>
      <c r="K39" s="2" t="s">
        <v>312</v>
      </c>
      <c r="L39" s="2" t="s">
        <v>313</v>
      </c>
      <c r="M39" s="3" t="str">
        <f>VLOOKUP(G39,справочник!$B$1:$C$94,2,0)</f>
        <v>МСК+6</v>
      </c>
    </row>
    <row r="40" spans="1:13" ht="42" thickBot="1" x14ac:dyDescent="0.35">
      <c r="A40" s="1" t="s">
        <v>146</v>
      </c>
      <c r="B40" s="1">
        <v>5</v>
      </c>
      <c r="C40" s="1" t="s">
        <v>314</v>
      </c>
      <c r="D40" s="2" t="s">
        <v>315</v>
      </c>
      <c r="E40" s="1" t="s">
        <v>29</v>
      </c>
      <c r="F40" s="1" t="s">
        <v>114</v>
      </c>
      <c r="G40" s="1" t="s">
        <v>308</v>
      </c>
      <c r="H40" s="1" t="s">
        <v>309</v>
      </c>
      <c r="I40" s="1" t="s">
        <v>316</v>
      </c>
      <c r="J40" s="2" t="s">
        <v>317</v>
      </c>
      <c r="K40" s="2" t="s">
        <v>318</v>
      </c>
      <c r="L40" s="2" t="s">
        <v>319</v>
      </c>
      <c r="M40" s="3" t="str">
        <f>VLOOKUP(G40,справочник!$B$1:$C$94,2,0)</f>
        <v>МСК+6</v>
      </c>
    </row>
    <row r="41" spans="1:13" ht="28.2" thickBot="1" x14ac:dyDescent="0.35">
      <c r="A41" s="1" t="s">
        <v>168</v>
      </c>
      <c r="B41" s="1">
        <v>6</v>
      </c>
      <c r="C41" s="1" t="s">
        <v>320</v>
      </c>
      <c r="D41" s="2" t="s">
        <v>321</v>
      </c>
      <c r="E41" s="1" t="s">
        <v>29</v>
      </c>
      <c r="F41" s="1" t="s">
        <v>114</v>
      </c>
      <c r="G41" s="1" t="s">
        <v>322</v>
      </c>
      <c r="H41" s="1" t="s">
        <v>324</v>
      </c>
      <c r="I41" s="1" t="s">
        <v>325</v>
      </c>
      <c r="J41" s="2" t="s">
        <v>326</v>
      </c>
      <c r="K41" s="2" t="s">
        <v>327</v>
      </c>
      <c r="L41" s="2" t="s">
        <v>323</v>
      </c>
      <c r="M41" s="3" t="str">
        <f>VLOOKUP(G41,справочник!$B$1:$C$94,2,0)</f>
        <v>МСК+7</v>
      </c>
    </row>
    <row r="42" spans="1:13" ht="42" thickBot="1" x14ac:dyDescent="0.35">
      <c r="A42" s="1" t="s">
        <v>146</v>
      </c>
      <c r="B42" s="1">
        <v>7</v>
      </c>
      <c r="C42" s="1" t="s">
        <v>328</v>
      </c>
      <c r="D42" s="2" t="s">
        <v>329</v>
      </c>
      <c r="E42" s="1" t="s">
        <v>29</v>
      </c>
      <c r="F42" s="1" t="s">
        <v>36</v>
      </c>
      <c r="G42" s="1" t="s">
        <v>330</v>
      </c>
      <c r="H42" s="1" t="s">
        <v>332</v>
      </c>
      <c r="I42" s="1" t="s">
        <v>333</v>
      </c>
      <c r="J42" s="2" t="s">
        <v>334</v>
      </c>
      <c r="K42" s="2" t="s">
        <v>335</v>
      </c>
      <c r="L42" s="2" t="s">
        <v>331</v>
      </c>
      <c r="M42" s="3" t="str">
        <f>VLOOKUP(G42,справочник!$B$1:$C$94,2,0)</f>
        <v>МСК+5</v>
      </c>
    </row>
    <row r="43" spans="1:13" ht="42" thickBot="1" x14ac:dyDescent="0.35">
      <c r="A43" s="1" t="s">
        <v>261</v>
      </c>
      <c r="B43" s="1">
        <v>608</v>
      </c>
      <c r="C43" s="1" t="s">
        <v>336</v>
      </c>
      <c r="D43" s="2" t="s">
        <v>337</v>
      </c>
      <c r="E43" s="1" t="s">
        <v>29</v>
      </c>
      <c r="F43" s="1" t="s">
        <v>114</v>
      </c>
      <c r="G43" s="1" t="s">
        <v>338</v>
      </c>
      <c r="H43" s="1" t="s">
        <v>339</v>
      </c>
      <c r="I43" s="1" t="s">
        <v>340</v>
      </c>
      <c r="J43" s="2" t="s">
        <v>341</v>
      </c>
      <c r="K43" s="2" t="s">
        <v>342</v>
      </c>
      <c r="L43" s="2" t="s">
        <v>343</v>
      </c>
      <c r="M43" s="3" t="str">
        <f>VLOOKUP(G43,справочник!$B$1:$C$94,2,0)</f>
        <v>МСК+6</v>
      </c>
    </row>
    <row r="44" spans="1:13" ht="42" thickBot="1" x14ac:dyDescent="0.35">
      <c r="A44" s="1" t="s">
        <v>146</v>
      </c>
      <c r="B44" s="1">
        <v>327</v>
      </c>
      <c r="C44" s="1" t="s">
        <v>344</v>
      </c>
      <c r="D44" s="2" t="s">
        <v>345</v>
      </c>
      <c r="E44" s="1" t="s">
        <v>29</v>
      </c>
      <c r="F44" s="1" t="s">
        <v>114</v>
      </c>
      <c r="G44" s="1" t="s">
        <v>338</v>
      </c>
      <c r="H44" s="1" t="s">
        <v>339</v>
      </c>
      <c r="I44" s="1" t="s">
        <v>346</v>
      </c>
      <c r="J44" s="2" t="s">
        <v>347</v>
      </c>
      <c r="K44" s="2" t="s">
        <v>348</v>
      </c>
      <c r="L44" s="2" t="s">
        <v>349</v>
      </c>
      <c r="M44" s="3" t="str">
        <f>VLOOKUP(G44,справочник!$B$1:$C$94,2,0)</f>
        <v>МСК+6</v>
      </c>
    </row>
    <row r="45" spans="1:13" ht="42" thickBot="1" x14ac:dyDescent="0.35">
      <c r="A45" s="1" t="s">
        <v>350</v>
      </c>
      <c r="B45" s="1">
        <v>3437</v>
      </c>
      <c r="C45" s="1" t="s">
        <v>351</v>
      </c>
      <c r="D45" s="2" t="s">
        <v>352</v>
      </c>
      <c r="E45" s="1" t="s">
        <v>104</v>
      </c>
      <c r="F45" s="1" t="s">
        <v>30</v>
      </c>
      <c r="G45" s="1" t="s">
        <v>31</v>
      </c>
      <c r="H45" s="1" t="s">
        <v>32</v>
      </c>
      <c r="I45" s="1" t="s">
        <v>353</v>
      </c>
      <c r="J45" s="2" t="s">
        <v>354</v>
      </c>
      <c r="K45" s="2" t="s">
        <v>355</v>
      </c>
      <c r="L45" s="2" t="s">
        <v>356</v>
      </c>
      <c r="M45" s="3" t="str">
        <f>VLOOKUP(G45,справочник!$B$1:$C$94,2,0)</f>
        <v>МСК</v>
      </c>
    </row>
    <row r="46" spans="1:13" ht="28.2" thickBot="1" x14ac:dyDescent="0.35">
      <c r="A46" s="1" t="s">
        <v>168</v>
      </c>
      <c r="B46" s="1">
        <v>8</v>
      </c>
      <c r="C46" s="1" t="s">
        <v>357</v>
      </c>
      <c r="D46" s="2" t="s">
        <v>358</v>
      </c>
      <c r="E46" s="1" t="s">
        <v>29</v>
      </c>
      <c r="F46" s="1" t="s">
        <v>21</v>
      </c>
      <c r="G46" s="1" t="s">
        <v>199</v>
      </c>
      <c r="H46" s="1" t="s">
        <v>359</v>
      </c>
      <c r="I46" s="1" t="s">
        <v>360</v>
      </c>
      <c r="J46" s="2" t="s">
        <v>361</v>
      </c>
      <c r="K46" s="2" t="s">
        <v>362</v>
      </c>
      <c r="L46" s="2" t="s">
        <v>363</v>
      </c>
      <c r="M46" s="3" t="str">
        <f>VLOOKUP(G46,справочник!$B$1:$C$94,2,0)</f>
        <v>МСК</v>
      </c>
    </row>
    <row r="47" spans="1:13" ht="28.2" thickBot="1" x14ac:dyDescent="0.35">
      <c r="A47" s="1" t="s">
        <v>12</v>
      </c>
      <c r="B47" s="1">
        <v>1383</v>
      </c>
      <c r="C47" s="1" t="s">
        <v>364</v>
      </c>
      <c r="D47" s="2" t="s">
        <v>365</v>
      </c>
      <c r="E47" s="1" t="s">
        <v>29</v>
      </c>
      <c r="F47" s="1" t="s">
        <v>21</v>
      </c>
      <c r="G47" s="1" t="s">
        <v>199</v>
      </c>
      <c r="H47" s="1" t="s">
        <v>359</v>
      </c>
      <c r="I47" s="1" t="s">
        <v>367</v>
      </c>
      <c r="J47" s="2" t="s">
        <v>89</v>
      </c>
      <c r="K47" s="2" t="s">
        <v>368</v>
      </c>
      <c r="L47" s="2" t="s">
        <v>366</v>
      </c>
      <c r="M47" s="3" t="str">
        <f>VLOOKUP(G47,справочник!$B$1:$C$94,2,0)</f>
        <v>МСК</v>
      </c>
    </row>
    <row r="48" spans="1:13" ht="69.599999999999994" thickBot="1" x14ac:dyDescent="0.35">
      <c r="A48" s="1" t="s">
        <v>12</v>
      </c>
      <c r="B48" s="1">
        <v>1421</v>
      </c>
      <c r="C48" s="1" t="s">
        <v>369</v>
      </c>
      <c r="D48" s="2" t="s">
        <v>370</v>
      </c>
      <c r="E48" s="1" t="s">
        <v>29</v>
      </c>
      <c r="F48" s="1" t="s">
        <v>21</v>
      </c>
      <c r="G48" s="1" t="s">
        <v>199</v>
      </c>
      <c r="H48" s="1" t="s">
        <v>359</v>
      </c>
      <c r="I48" s="1" t="s">
        <v>371</v>
      </c>
      <c r="J48" s="2" t="s">
        <v>372</v>
      </c>
      <c r="K48" s="2" t="s">
        <v>373</v>
      </c>
      <c r="L48" s="2" t="s">
        <v>374</v>
      </c>
      <c r="M48" s="3" t="str">
        <f>VLOOKUP(G48,справочник!$B$1:$C$94,2,0)</f>
        <v>МСК</v>
      </c>
    </row>
    <row r="49" spans="1:13" ht="42" thickBot="1" x14ac:dyDescent="0.35">
      <c r="A49" s="1" t="s">
        <v>177</v>
      </c>
      <c r="B49" s="1">
        <v>761</v>
      </c>
      <c r="C49" s="1" t="s">
        <v>376</v>
      </c>
      <c r="D49" s="2" t="s">
        <v>377</v>
      </c>
      <c r="E49" s="1" t="s">
        <v>29</v>
      </c>
      <c r="F49" s="1" t="s">
        <v>21</v>
      </c>
      <c r="G49" s="1" t="s">
        <v>378</v>
      </c>
      <c r="H49" s="1" t="s">
        <v>379</v>
      </c>
      <c r="I49" s="1" t="s">
        <v>380</v>
      </c>
      <c r="J49" s="2" t="s">
        <v>381</v>
      </c>
      <c r="K49" s="2" t="s">
        <v>382</v>
      </c>
      <c r="L49" s="2" t="s">
        <v>383</v>
      </c>
      <c r="M49" s="3" t="str">
        <f>VLOOKUP(G49,справочник!$B$1:$C$94,2,0)</f>
        <v>МСК+1</v>
      </c>
    </row>
    <row r="50" spans="1:13" ht="42" thickBot="1" x14ac:dyDescent="0.35">
      <c r="A50" s="1" t="s">
        <v>54</v>
      </c>
      <c r="B50" s="1">
        <v>3323</v>
      </c>
      <c r="C50" s="1" t="s">
        <v>384</v>
      </c>
      <c r="D50" s="2" t="s">
        <v>385</v>
      </c>
      <c r="E50" s="1" t="s">
        <v>29</v>
      </c>
      <c r="F50" s="1" t="s">
        <v>21</v>
      </c>
      <c r="G50" s="1" t="s">
        <v>378</v>
      </c>
      <c r="H50" s="1" t="s">
        <v>379</v>
      </c>
      <c r="I50" s="1" t="s">
        <v>386</v>
      </c>
      <c r="J50" s="2" t="s">
        <v>387</v>
      </c>
      <c r="K50" s="2" t="s">
        <v>388</v>
      </c>
      <c r="L50" s="2" t="s">
        <v>389</v>
      </c>
      <c r="M50" s="3" t="str">
        <f>VLOOKUP(G50,справочник!$B$1:$C$94,2,0)</f>
        <v>МСК+1</v>
      </c>
    </row>
    <row r="51" spans="1:13" ht="42" thickBot="1" x14ac:dyDescent="0.35">
      <c r="A51" s="1" t="s">
        <v>131</v>
      </c>
      <c r="B51" s="1">
        <v>653</v>
      </c>
      <c r="C51" s="1" t="s">
        <v>390</v>
      </c>
      <c r="D51" s="2" t="s">
        <v>391</v>
      </c>
      <c r="E51" s="1" t="s">
        <v>29</v>
      </c>
      <c r="F51" s="1" t="s">
        <v>21</v>
      </c>
      <c r="G51" s="1" t="s">
        <v>378</v>
      </c>
      <c r="H51" s="1" t="s">
        <v>379</v>
      </c>
      <c r="I51" s="1" t="s">
        <v>393</v>
      </c>
      <c r="J51" s="2" t="s">
        <v>394</v>
      </c>
      <c r="K51" s="2" t="s">
        <v>395</v>
      </c>
      <c r="L51" s="2" t="s">
        <v>392</v>
      </c>
      <c r="M51" s="3" t="str">
        <f>VLOOKUP(G51,справочник!$B$1:$C$94,2,0)</f>
        <v>МСК+1</v>
      </c>
    </row>
    <row r="52" spans="1:13" ht="28.2" thickBot="1" x14ac:dyDescent="0.35">
      <c r="A52" s="1" t="s">
        <v>396</v>
      </c>
      <c r="B52" s="1">
        <v>623</v>
      </c>
      <c r="C52" s="1" t="s">
        <v>397</v>
      </c>
      <c r="D52" s="2" t="s">
        <v>398</v>
      </c>
      <c r="E52" s="1" t="s">
        <v>29</v>
      </c>
      <c r="F52" s="1" t="s">
        <v>21</v>
      </c>
      <c r="G52" s="1" t="s">
        <v>378</v>
      </c>
      <c r="H52" s="1" t="s">
        <v>379</v>
      </c>
      <c r="I52" s="1" t="s">
        <v>399</v>
      </c>
      <c r="J52" s="2" t="s">
        <v>400</v>
      </c>
      <c r="K52" s="2" t="s">
        <v>401</v>
      </c>
      <c r="L52" s="2" t="s">
        <v>402</v>
      </c>
      <c r="M52" s="3" t="str">
        <f>VLOOKUP(G52,справочник!$B$1:$C$94,2,0)</f>
        <v>МСК+1</v>
      </c>
    </row>
    <row r="53" spans="1:13" ht="42" thickBot="1" x14ac:dyDescent="0.35">
      <c r="A53" s="1" t="s">
        <v>146</v>
      </c>
      <c r="B53" s="1">
        <v>9</v>
      </c>
      <c r="C53" s="1" t="s">
        <v>403</v>
      </c>
      <c r="D53" s="2" t="s">
        <v>404</v>
      </c>
      <c r="E53" s="1" t="s">
        <v>29</v>
      </c>
      <c r="F53" s="1" t="s">
        <v>21</v>
      </c>
      <c r="G53" s="1" t="s">
        <v>378</v>
      </c>
      <c r="H53" s="1" t="s">
        <v>379</v>
      </c>
      <c r="I53" s="1" t="s">
        <v>405</v>
      </c>
      <c r="J53" s="2" t="s">
        <v>406</v>
      </c>
      <c r="K53" s="2" t="s">
        <v>407</v>
      </c>
      <c r="L53" s="2" t="s">
        <v>408</v>
      </c>
      <c r="M53" s="3" t="str">
        <f>VLOOKUP(G53,справочник!$B$1:$C$94,2,0)</f>
        <v>МСК+1</v>
      </c>
    </row>
    <row r="54" spans="1:13" ht="42" thickBot="1" x14ac:dyDescent="0.35">
      <c r="A54" s="1" t="s">
        <v>146</v>
      </c>
      <c r="B54" s="1">
        <v>10</v>
      </c>
      <c r="C54" s="1" t="s">
        <v>409</v>
      </c>
      <c r="D54" s="2" t="s">
        <v>410</v>
      </c>
      <c r="E54" s="1" t="s">
        <v>29</v>
      </c>
      <c r="F54" s="1" t="s">
        <v>36</v>
      </c>
      <c r="G54" s="1" t="s">
        <v>330</v>
      </c>
      <c r="H54" s="1" t="s">
        <v>411</v>
      </c>
      <c r="I54" s="1" t="s">
        <v>412</v>
      </c>
      <c r="J54" s="2" t="s">
        <v>413</v>
      </c>
      <c r="K54" s="2" t="s">
        <v>414</v>
      </c>
      <c r="L54" s="2" t="s">
        <v>415</v>
      </c>
      <c r="M54" s="3" t="str">
        <f>VLOOKUP(G54,справочник!$B$1:$C$94,2,0)</f>
        <v>МСК+5</v>
      </c>
    </row>
    <row r="55" spans="1:13" ht="42" thickBot="1" x14ac:dyDescent="0.35">
      <c r="A55" s="1" t="s">
        <v>146</v>
      </c>
      <c r="B55" s="1">
        <v>2152</v>
      </c>
      <c r="C55" s="1" t="s">
        <v>416</v>
      </c>
      <c r="D55" s="2" t="s">
        <v>417</v>
      </c>
      <c r="E55" s="1" t="s">
        <v>20</v>
      </c>
      <c r="F55" s="1" t="s">
        <v>114</v>
      </c>
      <c r="G55" s="1" t="s">
        <v>418</v>
      </c>
      <c r="H55" s="1" t="s">
        <v>420</v>
      </c>
      <c r="I55" s="1" t="s">
        <v>421</v>
      </c>
      <c r="J55" s="2" t="s">
        <v>422</v>
      </c>
      <c r="K55" s="2" t="s">
        <v>423</v>
      </c>
      <c r="L55" s="2" t="s">
        <v>419</v>
      </c>
      <c r="M55" s="3" t="str">
        <f>VLOOKUP(G55,справочник!$B$1:$C$94,2,0)</f>
        <v>МСК+5</v>
      </c>
    </row>
    <row r="56" spans="1:13" ht="42" thickBot="1" x14ac:dyDescent="0.35">
      <c r="A56" s="1" t="s">
        <v>146</v>
      </c>
      <c r="B56" s="1">
        <v>2059</v>
      </c>
      <c r="C56" s="1" t="s">
        <v>424</v>
      </c>
      <c r="D56" s="2" t="s">
        <v>425</v>
      </c>
      <c r="E56" s="1" t="s">
        <v>20</v>
      </c>
      <c r="F56" s="1" t="s">
        <v>36</v>
      </c>
      <c r="G56" s="1" t="s">
        <v>330</v>
      </c>
      <c r="H56" s="1" t="s">
        <v>426</v>
      </c>
      <c r="I56" s="1" t="s">
        <v>427</v>
      </c>
      <c r="J56" s="2" t="s">
        <v>428</v>
      </c>
      <c r="K56" s="2" t="s">
        <v>429</v>
      </c>
      <c r="L56" s="2" t="s">
        <v>430</v>
      </c>
      <c r="M56" s="3" t="str">
        <f>VLOOKUP(G56,справочник!$B$1:$C$94,2,0)</f>
        <v>МСК+5</v>
      </c>
    </row>
    <row r="57" spans="1:13" ht="28.2" thickBot="1" x14ac:dyDescent="0.35">
      <c r="A57" s="1" t="s">
        <v>12</v>
      </c>
      <c r="B57" s="1">
        <v>3368</v>
      </c>
      <c r="C57" s="1" t="s">
        <v>431</v>
      </c>
      <c r="D57" s="2" t="s">
        <v>432</v>
      </c>
      <c r="E57" s="1" t="s">
        <v>29</v>
      </c>
      <c r="F57" s="1" t="s">
        <v>114</v>
      </c>
      <c r="G57" s="1" t="s">
        <v>418</v>
      </c>
      <c r="H57" s="1" t="s">
        <v>433</v>
      </c>
      <c r="I57" s="1" t="s">
        <v>434</v>
      </c>
      <c r="J57" s="2" t="s">
        <v>435</v>
      </c>
      <c r="K57" s="2" t="s">
        <v>436</v>
      </c>
      <c r="L57" s="2" t="s">
        <v>437</v>
      </c>
      <c r="M57" s="3" t="str">
        <f>VLOOKUP(G57,справочник!$B$1:$C$94,2,0)</f>
        <v>МСК+5</v>
      </c>
    </row>
    <row r="58" spans="1:13" ht="42" thickBot="1" x14ac:dyDescent="0.35">
      <c r="A58" s="1" t="s">
        <v>12</v>
      </c>
      <c r="B58" s="1">
        <v>3369</v>
      </c>
      <c r="C58" s="1" t="s">
        <v>438</v>
      </c>
      <c r="D58" s="2" t="s">
        <v>439</v>
      </c>
      <c r="E58" s="1" t="s">
        <v>29</v>
      </c>
      <c r="F58" s="1" t="s">
        <v>30</v>
      </c>
      <c r="G58" s="1" t="s">
        <v>31</v>
      </c>
      <c r="H58" s="1" t="s">
        <v>31</v>
      </c>
      <c r="I58" s="1" t="s">
        <v>440</v>
      </c>
      <c r="J58" s="2" t="s">
        <v>441</v>
      </c>
      <c r="K58" s="2" t="s">
        <v>442</v>
      </c>
      <c r="L58" s="2" t="s">
        <v>443</v>
      </c>
      <c r="M58" s="3" t="str">
        <f>VLOOKUP(G58,справочник!$B$1:$C$94,2,0)</f>
        <v>МСК</v>
      </c>
    </row>
    <row r="59" spans="1:13" ht="42" thickBot="1" x14ac:dyDescent="0.35">
      <c r="A59" s="1" t="s">
        <v>146</v>
      </c>
      <c r="B59" s="1">
        <v>11</v>
      </c>
      <c r="C59" s="1" t="s">
        <v>444</v>
      </c>
      <c r="D59" s="2" t="s">
        <v>445</v>
      </c>
      <c r="E59" s="1" t="s">
        <v>29</v>
      </c>
      <c r="F59" s="1" t="s">
        <v>30</v>
      </c>
      <c r="G59" s="1" t="s">
        <v>31</v>
      </c>
      <c r="H59" s="1" t="s">
        <v>32</v>
      </c>
      <c r="I59" s="1" t="s">
        <v>446</v>
      </c>
      <c r="J59" s="2" t="s">
        <v>447</v>
      </c>
      <c r="K59" s="2" t="s">
        <v>448</v>
      </c>
      <c r="L59" s="2" t="s">
        <v>449</v>
      </c>
      <c r="M59" s="3" t="str">
        <f>VLOOKUP(G59,справочник!$B$1:$C$94,2,0)</f>
        <v>МСК</v>
      </c>
    </row>
    <row r="60" spans="1:13" ht="28.2" thickBot="1" x14ac:dyDescent="0.35">
      <c r="A60" s="1" t="s">
        <v>12</v>
      </c>
      <c r="B60" s="1">
        <v>3370</v>
      </c>
      <c r="C60" s="1" t="s">
        <v>450</v>
      </c>
      <c r="D60" s="2" t="s">
        <v>451</v>
      </c>
      <c r="E60" s="1" t="s">
        <v>29</v>
      </c>
      <c r="F60" s="1" t="s">
        <v>30</v>
      </c>
      <c r="G60" s="1" t="s">
        <v>31</v>
      </c>
      <c r="H60" s="1" t="s">
        <v>32</v>
      </c>
      <c r="I60" s="1" t="s">
        <v>452</v>
      </c>
      <c r="J60" s="2" t="s">
        <v>453</v>
      </c>
      <c r="K60" s="2" t="s">
        <v>454</v>
      </c>
      <c r="L60" s="2" t="s">
        <v>455</v>
      </c>
      <c r="M60" s="3" t="str">
        <f>VLOOKUP(G60,справочник!$B$1:$C$94,2,0)</f>
        <v>МСК</v>
      </c>
    </row>
    <row r="61" spans="1:13" ht="42" thickBot="1" x14ac:dyDescent="0.35">
      <c r="A61" s="1" t="s">
        <v>146</v>
      </c>
      <c r="B61" s="1">
        <v>161</v>
      </c>
      <c r="C61" s="1" t="s">
        <v>456</v>
      </c>
      <c r="D61" s="2" t="s">
        <v>457</v>
      </c>
      <c r="E61" s="1" t="s">
        <v>29</v>
      </c>
      <c r="F61" s="1" t="s">
        <v>30</v>
      </c>
      <c r="G61" s="1" t="s">
        <v>458</v>
      </c>
      <c r="H61" s="1" t="s">
        <v>459</v>
      </c>
      <c r="I61" s="1" t="s">
        <v>460</v>
      </c>
      <c r="J61" s="2" t="s">
        <v>461</v>
      </c>
      <c r="K61" s="2" t="s">
        <v>462</v>
      </c>
      <c r="L61" s="2" t="s">
        <v>463</v>
      </c>
      <c r="M61" s="3" t="str">
        <f>VLOOKUP(G61,справочник!$B$1:$C$94,2,0)</f>
        <v>МСК-1</v>
      </c>
    </row>
    <row r="62" spans="1:13" ht="42" thickBot="1" x14ac:dyDescent="0.35">
      <c r="A62" s="1" t="s">
        <v>12</v>
      </c>
      <c r="B62" s="1">
        <v>4093</v>
      </c>
      <c r="C62" s="1" t="s">
        <v>464</v>
      </c>
      <c r="D62" s="2" t="s">
        <v>465</v>
      </c>
      <c r="E62" s="1" t="s">
        <v>29</v>
      </c>
      <c r="F62" s="1" t="s">
        <v>36</v>
      </c>
      <c r="G62" s="1" t="s">
        <v>264</v>
      </c>
      <c r="H62" s="1" t="s">
        <v>266</v>
      </c>
      <c r="I62" s="1" t="s">
        <v>466</v>
      </c>
      <c r="J62" s="2" t="s">
        <v>467</v>
      </c>
      <c r="K62" s="2" t="s">
        <v>468</v>
      </c>
      <c r="L62" s="2" t="s">
        <v>469</v>
      </c>
      <c r="M62" s="3" t="str">
        <f>VLOOKUP(G62,справочник!$B$1:$C$94,2,0)</f>
        <v>МСК+4</v>
      </c>
    </row>
    <row r="63" spans="1:13" ht="55.8" thickBot="1" x14ac:dyDescent="0.35">
      <c r="A63" s="1" t="s">
        <v>54</v>
      </c>
      <c r="B63" s="1">
        <v>3176</v>
      </c>
      <c r="C63" s="1" t="s">
        <v>470</v>
      </c>
      <c r="D63" s="2" t="s">
        <v>471</v>
      </c>
      <c r="E63" s="1" t="s">
        <v>29</v>
      </c>
      <c r="F63" s="1" t="s">
        <v>222</v>
      </c>
      <c r="G63" s="1" t="s">
        <v>472</v>
      </c>
      <c r="H63" s="1" t="s">
        <v>473</v>
      </c>
      <c r="I63" s="1" t="s">
        <v>474</v>
      </c>
      <c r="J63" s="2" t="s">
        <v>475</v>
      </c>
      <c r="K63" s="2" t="s">
        <v>476</v>
      </c>
      <c r="L63" s="2" t="s">
        <v>477</v>
      </c>
      <c r="M63" s="3" t="str">
        <f>VLOOKUP(G63,справочник!$B$1:$C$94,2,0)</f>
        <v>МСК+2</v>
      </c>
    </row>
    <row r="64" spans="1:13" ht="42" thickBot="1" x14ac:dyDescent="0.35">
      <c r="A64" s="1" t="s">
        <v>261</v>
      </c>
      <c r="B64" s="1">
        <v>1123</v>
      </c>
      <c r="C64" s="1" t="s">
        <v>478</v>
      </c>
      <c r="D64" s="2" t="s">
        <v>479</v>
      </c>
      <c r="E64" s="1" t="s">
        <v>29</v>
      </c>
      <c r="F64" s="1" t="s">
        <v>222</v>
      </c>
      <c r="G64" s="1" t="s">
        <v>472</v>
      </c>
      <c r="H64" s="1" t="s">
        <v>473</v>
      </c>
      <c r="I64" s="1" t="s">
        <v>480</v>
      </c>
      <c r="J64" s="2" t="s">
        <v>481</v>
      </c>
      <c r="K64" s="2" t="s">
        <v>482</v>
      </c>
      <c r="L64" s="2" t="s">
        <v>483</v>
      </c>
      <c r="M64" s="3" t="str">
        <f>VLOOKUP(G64,справочник!$B$1:$C$94,2,0)</f>
        <v>МСК+2</v>
      </c>
    </row>
    <row r="65" spans="1:13" ht="28.2" thickBot="1" x14ac:dyDescent="0.35">
      <c r="A65" s="1" t="s">
        <v>131</v>
      </c>
      <c r="B65" s="1">
        <v>703</v>
      </c>
      <c r="C65" s="1" t="s">
        <v>484</v>
      </c>
      <c r="D65" s="2" t="s">
        <v>485</v>
      </c>
      <c r="E65" s="1" t="s">
        <v>29</v>
      </c>
      <c r="F65" s="1" t="s">
        <v>222</v>
      </c>
      <c r="G65" s="1" t="s">
        <v>472</v>
      </c>
      <c r="H65" s="1" t="s">
        <v>473</v>
      </c>
      <c r="I65" s="1" t="s">
        <v>487</v>
      </c>
      <c r="J65" s="2" t="s">
        <v>467</v>
      </c>
      <c r="K65" s="2" t="s">
        <v>488</v>
      </c>
      <c r="L65" s="2" t="s">
        <v>486</v>
      </c>
      <c r="M65" s="3" t="str">
        <f>VLOOKUP(G65,справочник!$B$1:$C$94,2,0)</f>
        <v>МСК+2</v>
      </c>
    </row>
    <row r="66" spans="1:13" ht="42" thickBot="1" x14ac:dyDescent="0.35">
      <c r="A66" s="1" t="s">
        <v>168</v>
      </c>
      <c r="B66" s="1">
        <v>12</v>
      </c>
      <c r="C66" s="1" t="s">
        <v>489</v>
      </c>
      <c r="D66" s="2" t="s">
        <v>490</v>
      </c>
      <c r="E66" s="1" t="s">
        <v>29</v>
      </c>
      <c r="F66" s="1" t="s">
        <v>222</v>
      </c>
      <c r="G66" s="1" t="s">
        <v>472</v>
      </c>
      <c r="H66" s="1" t="s">
        <v>473</v>
      </c>
      <c r="I66" s="1" t="s">
        <v>491</v>
      </c>
      <c r="J66" s="2" t="s">
        <v>492</v>
      </c>
      <c r="K66" s="2" t="s">
        <v>493</v>
      </c>
      <c r="L66" s="2" t="s">
        <v>494</v>
      </c>
      <c r="M66" s="3" t="str">
        <f>VLOOKUP(G66,справочник!$B$1:$C$94,2,0)</f>
        <v>МСК+2</v>
      </c>
    </row>
    <row r="67" spans="1:13" ht="42" thickBot="1" x14ac:dyDescent="0.35">
      <c r="A67" s="1" t="s">
        <v>261</v>
      </c>
      <c r="B67" s="1">
        <v>1324</v>
      </c>
      <c r="C67" s="1" t="s">
        <v>495</v>
      </c>
      <c r="D67" s="2" t="s">
        <v>496</v>
      </c>
      <c r="E67" s="1" t="s">
        <v>29</v>
      </c>
      <c r="F67" s="1" t="s">
        <v>14</v>
      </c>
      <c r="G67" s="1" t="s">
        <v>497</v>
      </c>
      <c r="H67" s="1" t="s">
        <v>498</v>
      </c>
      <c r="I67" s="1" t="s">
        <v>499</v>
      </c>
      <c r="J67" s="2" t="s">
        <v>500</v>
      </c>
      <c r="K67" s="2" t="s">
        <v>501</v>
      </c>
      <c r="L67" s="2" t="s">
        <v>502</v>
      </c>
      <c r="M67" s="3" t="str">
        <f>VLOOKUP(G67,справочник!$B$1:$C$94,2,0)</f>
        <v>МСК</v>
      </c>
    </row>
    <row r="68" spans="1:13" ht="42" thickBot="1" x14ac:dyDescent="0.35">
      <c r="A68" s="1" t="s">
        <v>54</v>
      </c>
      <c r="B68" s="1">
        <v>3166</v>
      </c>
      <c r="C68" s="1" t="s">
        <v>503</v>
      </c>
      <c r="D68" s="2" t="s">
        <v>504</v>
      </c>
      <c r="E68" s="1" t="s">
        <v>29</v>
      </c>
      <c r="F68" s="1" t="s">
        <v>14</v>
      </c>
      <c r="G68" s="1" t="s">
        <v>497</v>
      </c>
      <c r="H68" s="1" t="s">
        <v>506</v>
      </c>
      <c r="I68" s="1" t="s">
        <v>507</v>
      </c>
      <c r="J68" s="2" t="s">
        <v>508</v>
      </c>
      <c r="K68" s="2" t="s">
        <v>509</v>
      </c>
      <c r="L68" s="2" t="s">
        <v>505</v>
      </c>
      <c r="M68" s="3" t="str">
        <f>VLOOKUP(G68,справочник!$B$1:$C$94,2,0)</f>
        <v>МСК</v>
      </c>
    </row>
    <row r="69" spans="1:13" ht="42" thickBot="1" x14ac:dyDescent="0.35">
      <c r="A69" s="1" t="s">
        <v>146</v>
      </c>
      <c r="B69" s="1">
        <v>15</v>
      </c>
      <c r="C69" s="1" t="s">
        <v>510</v>
      </c>
      <c r="D69" s="2" t="s">
        <v>511</v>
      </c>
      <c r="E69" s="1" t="s">
        <v>29</v>
      </c>
      <c r="F69" s="1" t="s">
        <v>14</v>
      </c>
      <c r="G69" s="1" t="s">
        <v>497</v>
      </c>
      <c r="H69" s="1" t="s">
        <v>506</v>
      </c>
      <c r="I69" s="1" t="s">
        <v>512</v>
      </c>
      <c r="J69" s="2" t="s">
        <v>513</v>
      </c>
      <c r="K69" s="2" t="s">
        <v>514</v>
      </c>
      <c r="L69" s="2" t="s">
        <v>515</v>
      </c>
      <c r="M69" s="3" t="str">
        <f>VLOOKUP(G69,справочник!$B$1:$C$94,2,0)</f>
        <v>МСК</v>
      </c>
    </row>
    <row r="70" spans="1:13" ht="42" thickBot="1" x14ac:dyDescent="0.35">
      <c r="A70" s="1" t="s">
        <v>146</v>
      </c>
      <c r="B70" s="1">
        <v>14</v>
      </c>
      <c r="C70" s="1" t="s">
        <v>516</v>
      </c>
      <c r="D70" s="2" t="s">
        <v>517</v>
      </c>
      <c r="E70" s="1" t="s">
        <v>29</v>
      </c>
      <c r="F70" s="1" t="s">
        <v>14</v>
      </c>
      <c r="G70" s="1" t="s">
        <v>497</v>
      </c>
      <c r="H70" s="1" t="s">
        <v>506</v>
      </c>
      <c r="I70" s="1" t="s">
        <v>518</v>
      </c>
      <c r="J70" s="2" t="s">
        <v>519</v>
      </c>
      <c r="K70" s="2" t="s">
        <v>520</v>
      </c>
      <c r="L70" s="2" t="s">
        <v>521</v>
      </c>
      <c r="M70" s="3" t="str">
        <f>VLOOKUP(G70,справочник!$B$1:$C$94,2,0)</f>
        <v>МСК</v>
      </c>
    </row>
    <row r="71" spans="1:13" ht="28.2" thickBot="1" x14ac:dyDescent="0.35">
      <c r="A71" s="1" t="s">
        <v>12</v>
      </c>
      <c r="B71" s="1">
        <v>937</v>
      </c>
      <c r="C71" s="1" t="s">
        <v>522</v>
      </c>
      <c r="D71" s="2" t="s">
        <v>523</v>
      </c>
      <c r="E71" s="1" t="s">
        <v>29</v>
      </c>
      <c r="F71" s="1" t="s">
        <v>14</v>
      </c>
      <c r="G71" s="1" t="s">
        <v>497</v>
      </c>
      <c r="H71" s="1" t="s">
        <v>506</v>
      </c>
      <c r="I71" s="1" t="s">
        <v>525</v>
      </c>
      <c r="J71" s="2" t="s">
        <v>526</v>
      </c>
      <c r="K71" s="2" t="s">
        <v>527</v>
      </c>
      <c r="L71" s="2" t="s">
        <v>524</v>
      </c>
      <c r="M71" s="3" t="str">
        <f>VLOOKUP(G71,справочник!$B$1:$C$94,2,0)</f>
        <v>МСК</v>
      </c>
    </row>
    <row r="72" spans="1:13" ht="97.2" thickBot="1" x14ac:dyDescent="0.35">
      <c r="A72" s="1" t="s">
        <v>146</v>
      </c>
      <c r="B72" s="1">
        <v>403</v>
      </c>
      <c r="C72" s="1" t="s">
        <v>528</v>
      </c>
      <c r="D72" s="2" t="s">
        <v>529</v>
      </c>
      <c r="E72" s="1" t="s">
        <v>29</v>
      </c>
      <c r="F72" s="1" t="s">
        <v>530</v>
      </c>
      <c r="G72" s="1" t="s">
        <v>531</v>
      </c>
      <c r="H72" s="1" t="s">
        <v>532</v>
      </c>
      <c r="I72" s="1" t="s">
        <v>533</v>
      </c>
      <c r="J72" s="2" t="s">
        <v>534</v>
      </c>
      <c r="K72" s="2" t="s">
        <v>535</v>
      </c>
      <c r="L72" s="2" t="s">
        <v>536</v>
      </c>
      <c r="M72" s="3" t="str">
        <f>VLOOKUP(G72,справочник!$B$1:$C$94,2,0)</f>
        <v>МСК</v>
      </c>
    </row>
    <row r="73" spans="1:13" ht="28.2" thickBot="1" x14ac:dyDescent="0.35">
      <c r="A73" s="1" t="s">
        <v>168</v>
      </c>
      <c r="B73" s="1">
        <v>17</v>
      </c>
      <c r="C73" s="1" t="s">
        <v>537</v>
      </c>
      <c r="D73" s="2" t="s">
        <v>538</v>
      </c>
      <c r="E73" s="1" t="s">
        <v>29</v>
      </c>
      <c r="F73" s="1" t="s">
        <v>114</v>
      </c>
      <c r="G73" s="1" t="s">
        <v>308</v>
      </c>
      <c r="H73" s="1" t="s">
        <v>309</v>
      </c>
      <c r="I73" s="1" t="s">
        <v>540</v>
      </c>
      <c r="J73" s="2" t="s">
        <v>541</v>
      </c>
      <c r="K73" s="2" t="s">
        <v>542</v>
      </c>
      <c r="L73" s="2" t="s">
        <v>539</v>
      </c>
      <c r="M73" s="3" t="str">
        <f>VLOOKUP(G73,справочник!$B$1:$C$94,2,0)</f>
        <v>МСК+6</v>
      </c>
    </row>
    <row r="74" spans="1:13" ht="42" thickBot="1" x14ac:dyDescent="0.35">
      <c r="A74" s="1" t="s">
        <v>12</v>
      </c>
      <c r="B74" s="1">
        <v>3468</v>
      </c>
      <c r="C74" s="1" t="s">
        <v>543</v>
      </c>
      <c r="D74" s="2" t="s">
        <v>544</v>
      </c>
      <c r="E74" s="1" t="s">
        <v>29</v>
      </c>
      <c r="F74" s="1" t="s">
        <v>222</v>
      </c>
      <c r="G74" s="1" t="s">
        <v>223</v>
      </c>
      <c r="H74" s="1" t="s">
        <v>546</v>
      </c>
      <c r="I74" s="1" t="s">
        <v>547</v>
      </c>
      <c r="J74" s="2" t="s">
        <v>548</v>
      </c>
      <c r="K74" s="2" t="s">
        <v>549</v>
      </c>
      <c r="L74" s="2" t="s">
        <v>545</v>
      </c>
      <c r="M74" s="3" t="str">
        <f>VLOOKUP(G74,справочник!$B$1:$C$94,2,0)</f>
        <v>МСК</v>
      </c>
    </row>
    <row r="75" spans="1:13" ht="42" thickBot="1" x14ac:dyDescent="0.35">
      <c r="A75" s="1" t="s">
        <v>146</v>
      </c>
      <c r="B75" s="1">
        <v>1884</v>
      </c>
      <c r="C75" s="1" t="s">
        <v>550</v>
      </c>
      <c r="D75" s="2" t="s">
        <v>551</v>
      </c>
      <c r="E75" s="1" t="s">
        <v>20</v>
      </c>
      <c r="F75" s="1" t="s">
        <v>30</v>
      </c>
      <c r="G75" s="1" t="s">
        <v>31</v>
      </c>
      <c r="H75" s="1" t="s">
        <v>32</v>
      </c>
      <c r="I75" s="1" t="s">
        <v>552</v>
      </c>
      <c r="J75" s="2" t="s">
        <v>553</v>
      </c>
      <c r="K75" s="2" t="s">
        <v>554</v>
      </c>
      <c r="L75" s="2" t="s">
        <v>555</v>
      </c>
      <c r="M75" s="3" t="str">
        <f>VLOOKUP(G75,справочник!$B$1:$C$94,2,0)</f>
        <v>МСК</v>
      </c>
    </row>
    <row r="76" spans="1:13" ht="42" thickBot="1" x14ac:dyDescent="0.35">
      <c r="A76" s="1" t="s">
        <v>146</v>
      </c>
      <c r="B76" s="1">
        <v>2088</v>
      </c>
      <c r="C76" s="1" t="s">
        <v>556</v>
      </c>
      <c r="D76" s="2" t="s">
        <v>557</v>
      </c>
      <c r="E76" s="1" t="s">
        <v>20</v>
      </c>
      <c r="F76" s="1" t="s">
        <v>47</v>
      </c>
      <c r="G76" s="1" t="s">
        <v>48</v>
      </c>
      <c r="H76" s="1" t="s">
        <v>49</v>
      </c>
      <c r="I76" s="1" t="s">
        <v>559</v>
      </c>
      <c r="J76" s="2" t="s">
        <v>560</v>
      </c>
      <c r="K76" s="2" t="s">
        <v>561</v>
      </c>
      <c r="L76" s="2" t="s">
        <v>558</v>
      </c>
      <c r="M76" s="3" t="str">
        <f>VLOOKUP(G76,справочник!$B$1:$C$94,2,0)</f>
        <v>МСК+2</v>
      </c>
    </row>
    <row r="77" spans="1:13" ht="42" thickBot="1" x14ac:dyDescent="0.35">
      <c r="A77" s="1" t="s">
        <v>146</v>
      </c>
      <c r="B77" s="1">
        <v>2474</v>
      </c>
      <c r="C77" s="1" t="s">
        <v>562</v>
      </c>
      <c r="D77" s="2" t="s">
        <v>563</v>
      </c>
      <c r="E77" s="1" t="s">
        <v>20</v>
      </c>
      <c r="F77" s="1" t="s">
        <v>114</v>
      </c>
      <c r="G77" s="1" t="s">
        <v>121</v>
      </c>
      <c r="H77" s="1" t="s">
        <v>566</v>
      </c>
      <c r="I77" s="1" t="s">
        <v>567</v>
      </c>
      <c r="J77" s="2" t="s">
        <v>568</v>
      </c>
      <c r="K77" s="2" t="s">
        <v>564</v>
      </c>
      <c r="L77" s="2" t="s">
        <v>565</v>
      </c>
      <c r="M77" s="3" t="str">
        <f>VLOOKUP(G77,справочник!$B$1:$C$94,2,0)</f>
        <v>МСК+7</v>
      </c>
    </row>
    <row r="78" spans="1:13" ht="42" thickBot="1" x14ac:dyDescent="0.35">
      <c r="A78" s="1" t="s">
        <v>146</v>
      </c>
      <c r="B78" s="1">
        <v>18</v>
      </c>
      <c r="C78" s="1" t="s">
        <v>569</v>
      </c>
      <c r="D78" s="2" t="s">
        <v>570</v>
      </c>
      <c r="E78" s="1" t="s">
        <v>29</v>
      </c>
      <c r="F78" s="1" t="s">
        <v>36</v>
      </c>
      <c r="G78" s="1" t="s">
        <v>330</v>
      </c>
      <c r="H78" s="1" t="s">
        <v>571</v>
      </c>
      <c r="I78" s="1" t="s">
        <v>572</v>
      </c>
      <c r="J78" s="2" t="s">
        <v>573</v>
      </c>
      <c r="K78" s="2" t="s">
        <v>574</v>
      </c>
      <c r="L78" s="2" t="s">
        <v>575</v>
      </c>
      <c r="M78" s="3" t="str">
        <f>VLOOKUP(G78,справочник!$B$1:$C$94,2,0)</f>
        <v>МСК+5</v>
      </c>
    </row>
    <row r="79" spans="1:13" ht="42" thickBot="1" x14ac:dyDescent="0.35">
      <c r="A79" s="1" t="s">
        <v>261</v>
      </c>
      <c r="B79" s="1">
        <v>793</v>
      </c>
      <c r="C79" s="1" t="s">
        <v>576</v>
      </c>
      <c r="D79" s="2" t="s">
        <v>577</v>
      </c>
      <c r="E79" s="1" t="s">
        <v>29</v>
      </c>
      <c r="F79" s="1" t="s">
        <v>14</v>
      </c>
      <c r="G79" s="1" t="s">
        <v>578</v>
      </c>
      <c r="H79" s="1" t="s">
        <v>579</v>
      </c>
      <c r="I79" s="1" t="s">
        <v>580</v>
      </c>
      <c r="J79" s="2" t="s">
        <v>581</v>
      </c>
      <c r="K79" s="2" t="s">
        <v>582</v>
      </c>
      <c r="L79" s="2" t="s">
        <v>583</v>
      </c>
      <c r="M79" s="3" t="str">
        <f>VLOOKUP(G79,справочник!$B$1:$C$94,2,0)</f>
        <v>МСК</v>
      </c>
    </row>
    <row r="80" spans="1:13" ht="55.8" thickBot="1" x14ac:dyDescent="0.35">
      <c r="A80" s="1" t="s">
        <v>146</v>
      </c>
      <c r="B80" s="1">
        <v>19</v>
      </c>
      <c r="C80" s="1" t="s">
        <v>584</v>
      </c>
      <c r="D80" s="2" t="s">
        <v>585</v>
      </c>
      <c r="E80" s="1" t="s">
        <v>29</v>
      </c>
      <c r="F80" s="1" t="s">
        <v>14</v>
      </c>
      <c r="G80" s="1" t="s">
        <v>578</v>
      </c>
      <c r="H80" s="1" t="s">
        <v>587</v>
      </c>
      <c r="I80" s="1" t="s">
        <v>588</v>
      </c>
      <c r="J80" s="2" t="s">
        <v>589</v>
      </c>
      <c r="K80" s="2" t="s">
        <v>590</v>
      </c>
      <c r="L80" s="2" t="s">
        <v>586</v>
      </c>
      <c r="M80" s="3" t="str">
        <f>VLOOKUP(G80,справочник!$B$1:$C$94,2,0)</f>
        <v>МСК</v>
      </c>
    </row>
    <row r="81" spans="1:13" ht="42" thickBot="1" x14ac:dyDescent="0.35">
      <c r="A81" s="1" t="s">
        <v>146</v>
      </c>
      <c r="B81" s="1">
        <v>20</v>
      </c>
      <c r="C81" s="1" t="s">
        <v>591</v>
      </c>
      <c r="D81" s="2" t="s">
        <v>592</v>
      </c>
      <c r="E81" s="1" t="s">
        <v>29</v>
      </c>
      <c r="F81" s="1" t="s">
        <v>14</v>
      </c>
      <c r="G81" s="1" t="s">
        <v>578</v>
      </c>
      <c r="H81" s="1" t="s">
        <v>587</v>
      </c>
      <c r="I81" s="1" t="s">
        <v>593</v>
      </c>
      <c r="J81" s="2" t="s">
        <v>594</v>
      </c>
      <c r="K81" s="2" t="s">
        <v>595</v>
      </c>
      <c r="L81" s="2" t="s">
        <v>596</v>
      </c>
      <c r="M81" s="3" t="str">
        <f>VLOOKUP(G81,справочник!$B$1:$C$94,2,0)</f>
        <v>МСК</v>
      </c>
    </row>
    <row r="82" spans="1:13" ht="55.8" thickBot="1" x14ac:dyDescent="0.35">
      <c r="A82" s="1" t="s">
        <v>146</v>
      </c>
      <c r="B82" s="1">
        <v>21</v>
      </c>
      <c r="C82" s="1" t="s">
        <v>597</v>
      </c>
      <c r="D82" s="2" t="s">
        <v>598</v>
      </c>
      <c r="E82" s="1" t="s">
        <v>29</v>
      </c>
      <c r="F82" s="1" t="s">
        <v>14</v>
      </c>
      <c r="G82" s="1" t="s">
        <v>578</v>
      </c>
      <c r="H82" s="1" t="s">
        <v>587</v>
      </c>
      <c r="I82" s="1" t="s">
        <v>600</v>
      </c>
      <c r="J82" s="2" t="s">
        <v>601</v>
      </c>
      <c r="K82" s="2" t="s">
        <v>602</v>
      </c>
      <c r="L82" s="2" t="s">
        <v>599</v>
      </c>
      <c r="M82" s="3" t="str">
        <f>VLOOKUP(G82,справочник!$B$1:$C$94,2,0)</f>
        <v>МСК</v>
      </c>
    </row>
    <row r="83" spans="1:13" ht="42" thickBot="1" x14ac:dyDescent="0.35">
      <c r="A83" s="1" t="s">
        <v>12</v>
      </c>
      <c r="B83" s="1">
        <v>2209</v>
      </c>
      <c r="C83" s="1" t="s">
        <v>603</v>
      </c>
      <c r="D83" s="2" t="s">
        <v>604</v>
      </c>
      <c r="E83" s="1" t="s">
        <v>29</v>
      </c>
      <c r="F83" s="1" t="s">
        <v>14</v>
      </c>
      <c r="G83" s="1" t="s">
        <v>578</v>
      </c>
      <c r="H83" s="1" t="s">
        <v>587</v>
      </c>
      <c r="I83" s="1" t="s">
        <v>606</v>
      </c>
      <c r="J83" s="2" t="s">
        <v>607</v>
      </c>
      <c r="K83" s="2" t="s">
        <v>608</v>
      </c>
      <c r="L83" s="2" t="s">
        <v>605</v>
      </c>
      <c r="M83" s="3" t="str">
        <f>VLOOKUP(G83,справочник!$B$1:$C$94,2,0)</f>
        <v>МСК</v>
      </c>
    </row>
    <row r="84" spans="1:13" ht="42" thickBot="1" x14ac:dyDescent="0.35">
      <c r="A84" s="1" t="s">
        <v>261</v>
      </c>
      <c r="B84" s="1">
        <v>766</v>
      </c>
      <c r="C84" s="1" t="s">
        <v>609</v>
      </c>
      <c r="D84" s="2" t="s">
        <v>610</v>
      </c>
      <c r="E84" s="1" t="s">
        <v>29</v>
      </c>
      <c r="F84" s="1" t="s">
        <v>114</v>
      </c>
      <c r="G84" s="1" t="s">
        <v>418</v>
      </c>
      <c r="H84" s="1" t="s">
        <v>433</v>
      </c>
      <c r="I84" s="1" t="s">
        <v>612</v>
      </c>
      <c r="J84" s="2" t="s">
        <v>613</v>
      </c>
      <c r="K84" s="2" t="s">
        <v>614</v>
      </c>
      <c r="L84" s="2" t="s">
        <v>611</v>
      </c>
      <c r="M84" s="3" t="str">
        <f>VLOOKUP(G84,справочник!$B$1:$C$94,2,0)</f>
        <v>МСК+5</v>
      </c>
    </row>
    <row r="85" spans="1:13" ht="42" thickBot="1" x14ac:dyDescent="0.35">
      <c r="A85" s="1" t="s">
        <v>146</v>
      </c>
      <c r="B85" s="1">
        <v>22</v>
      </c>
      <c r="C85" s="1" t="s">
        <v>615</v>
      </c>
      <c r="D85" s="2" t="s">
        <v>616</v>
      </c>
      <c r="E85" s="1" t="s">
        <v>29</v>
      </c>
      <c r="F85" s="1" t="s">
        <v>114</v>
      </c>
      <c r="G85" s="1" t="s">
        <v>418</v>
      </c>
      <c r="H85" s="1" t="s">
        <v>433</v>
      </c>
      <c r="I85" s="1" t="s">
        <v>618</v>
      </c>
      <c r="J85" s="2" t="s">
        <v>619</v>
      </c>
      <c r="K85" s="2" t="s">
        <v>620</v>
      </c>
      <c r="L85" s="2" t="s">
        <v>617</v>
      </c>
      <c r="M85" s="3" t="str">
        <f>VLOOKUP(G85,справочник!$B$1:$C$94,2,0)</f>
        <v>МСК+5</v>
      </c>
    </row>
    <row r="86" spans="1:13" ht="42" thickBot="1" x14ac:dyDescent="0.35">
      <c r="A86" s="1" t="s">
        <v>621</v>
      </c>
      <c r="B86" s="1">
        <v>577</v>
      </c>
      <c r="C86" s="1" t="s">
        <v>622</v>
      </c>
      <c r="D86" s="2" t="s">
        <v>623</v>
      </c>
      <c r="E86" s="1" t="s">
        <v>29</v>
      </c>
      <c r="F86" s="1" t="s">
        <v>30</v>
      </c>
      <c r="G86" s="1" t="s">
        <v>624</v>
      </c>
      <c r="H86" s="1" t="s">
        <v>625</v>
      </c>
      <c r="I86" s="1" t="s">
        <v>626</v>
      </c>
      <c r="J86" s="2" t="s">
        <v>627</v>
      </c>
      <c r="K86" s="2" t="s">
        <v>628</v>
      </c>
      <c r="L86" s="2" t="s">
        <v>629</v>
      </c>
      <c r="M86" s="3" t="str">
        <f>VLOOKUP(G86,справочник!$B$1:$C$94,2,0)</f>
        <v>МСК</v>
      </c>
    </row>
    <row r="87" spans="1:13" ht="42" thickBot="1" x14ac:dyDescent="0.35">
      <c r="A87" s="1" t="s">
        <v>146</v>
      </c>
      <c r="B87" s="1">
        <v>423</v>
      </c>
      <c r="C87" s="1" t="s">
        <v>630</v>
      </c>
      <c r="D87" s="2" t="s">
        <v>631</v>
      </c>
      <c r="E87" s="1" t="s">
        <v>29</v>
      </c>
      <c r="F87" s="1" t="s">
        <v>14</v>
      </c>
      <c r="G87" s="1" t="s">
        <v>632</v>
      </c>
      <c r="H87" s="1" t="s">
        <v>634</v>
      </c>
      <c r="I87" s="1" t="s">
        <v>635</v>
      </c>
      <c r="J87" s="2" t="s">
        <v>467</v>
      </c>
      <c r="K87" s="2" t="s">
        <v>636</v>
      </c>
      <c r="L87" s="2" t="s">
        <v>633</v>
      </c>
      <c r="M87" s="3" t="str">
        <f>VLOOKUP(G87,справочник!$B$1:$C$94,2,0)</f>
        <v>МСК</v>
      </c>
    </row>
    <row r="88" spans="1:13" ht="42" thickBot="1" x14ac:dyDescent="0.35">
      <c r="A88" s="1" t="s">
        <v>146</v>
      </c>
      <c r="B88" s="1">
        <v>23</v>
      </c>
      <c r="C88" s="1" t="s">
        <v>638</v>
      </c>
      <c r="D88" s="2" t="s">
        <v>639</v>
      </c>
      <c r="E88" s="1" t="s">
        <v>29</v>
      </c>
      <c r="F88" s="1" t="s">
        <v>114</v>
      </c>
      <c r="G88" s="1" t="s">
        <v>121</v>
      </c>
      <c r="H88" s="1" t="s">
        <v>122</v>
      </c>
      <c r="I88" s="1" t="s">
        <v>640</v>
      </c>
      <c r="J88" s="2" t="s">
        <v>641</v>
      </c>
      <c r="K88" s="2" t="s">
        <v>642</v>
      </c>
      <c r="L88" s="2" t="s">
        <v>643</v>
      </c>
      <c r="M88" s="3" t="str">
        <f>VLOOKUP(G88,справочник!$B$1:$C$94,2,0)</f>
        <v>МСК+7</v>
      </c>
    </row>
    <row r="89" spans="1:13" ht="42" thickBot="1" x14ac:dyDescent="0.35">
      <c r="A89" s="1" t="s">
        <v>12</v>
      </c>
      <c r="B89" s="1">
        <v>1256</v>
      </c>
      <c r="C89" s="1" t="s">
        <v>644</v>
      </c>
      <c r="D89" s="2" t="s">
        <v>645</v>
      </c>
      <c r="E89" s="1" t="s">
        <v>29</v>
      </c>
      <c r="F89" s="1" t="s">
        <v>109</v>
      </c>
      <c r="G89" s="1" t="s">
        <v>646</v>
      </c>
      <c r="H89" s="1" t="s">
        <v>647</v>
      </c>
      <c r="I89" s="1" t="s">
        <v>648</v>
      </c>
      <c r="J89" s="2" t="s">
        <v>467</v>
      </c>
      <c r="K89" s="2" t="s">
        <v>649</v>
      </c>
      <c r="L89" s="2" t="s">
        <v>650</v>
      </c>
      <c r="M89" s="3" t="str">
        <f>VLOOKUP(G89,справочник!$B$1:$C$94,2,0)</f>
        <v>МСК</v>
      </c>
    </row>
    <row r="90" spans="1:13" ht="42" thickBot="1" x14ac:dyDescent="0.35">
      <c r="A90" s="1" t="s">
        <v>146</v>
      </c>
      <c r="B90" s="1">
        <v>1849</v>
      </c>
      <c r="C90" s="1" t="s">
        <v>651</v>
      </c>
      <c r="D90" s="2" t="s">
        <v>652</v>
      </c>
      <c r="E90" s="1" t="s">
        <v>20</v>
      </c>
      <c r="F90" s="1" t="s">
        <v>109</v>
      </c>
      <c r="G90" s="1" t="s">
        <v>646</v>
      </c>
      <c r="H90" s="1" t="s">
        <v>654</v>
      </c>
      <c r="I90" s="1" t="s">
        <v>655</v>
      </c>
      <c r="J90" s="2" t="s">
        <v>656</v>
      </c>
      <c r="K90" s="2" t="s">
        <v>657</v>
      </c>
      <c r="L90" s="2" t="s">
        <v>653</v>
      </c>
      <c r="M90" s="3" t="str">
        <f>VLOOKUP(G90,справочник!$B$1:$C$94,2,0)</f>
        <v>МСК</v>
      </c>
    </row>
    <row r="91" spans="1:13" ht="55.8" thickBot="1" x14ac:dyDescent="0.35">
      <c r="A91" s="1" t="s">
        <v>146</v>
      </c>
      <c r="B91" s="1">
        <v>24</v>
      </c>
      <c r="C91" s="1" t="s">
        <v>658</v>
      </c>
      <c r="D91" s="2" t="s">
        <v>659</v>
      </c>
      <c r="E91" s="1" t="s">
        <v>29</v>
      </c>
      <c r="F91" s="1" t="s">
        <v>14</v>
      </c>
      <c r="G91" s="1" t="s">
        <v>637</v>
      </c>
      <c r="H91" s="1" t="s">
        <v>660</v>
      </c>
      <c r="I91" s="1" t="s">
        <v>661</v>
      </c>
      <c r="J91" s="2" t="s">
        <v>662</v>
      </c>
      <c r="K91" s="2" t="s">
        <v>663</v>
      </c>
      <c r="L91" s="2" t="s">
        <v>664</v>
      </c>
      <c r="M91" s="3" t="str">
        <f>VLOOKUP(G91,справочник!$B$1:$C$94,2,0)</f>
        <v>МСК</v>
      </c>
    </row>
    <row r="92" spans="1:13" ht="42" thickBot="1" x14ac:dyDescent="0.35">
      <c r="A92" s="1" t="s">
        <v>621</v>
      </c>
      <c r="B92" s="1">
        <v>946</v>
      </c>
      <c r="C92" s="1" t="s">
        <v>671</v>
      </c>
      <c r="D92" s="2" t="s">
        <v>672</v>
      </c>
      <c r="E92" s="1" t="s">
        <v>29</v>
      </c>
      <c r="F92" s="1" t="s">
        <v>21</v>
      </c>
      <c r="G92" s="1" t="s">
        <v>673</v>
      </c>
      <c r="H92" s="1" t="s">
        <v>674</v>
      </c>
      <c r="I92" s="1" t="s">
        <v>675</v>
      </c>
      <c r="J92" s="2" t="s">
        <v>676</v>
      </c>
      <c r="K92" s="2" t="s">
        <v>677</v>
      </c>
      <c r="L92" s="2" t="s">
        <v>678</v>
      </c>
      <c r="M92" s="3" t="str">
        <f>VLOOKUP(G92,справочник!$B$1:$C$94,2,0)</f>
        <v>МСК+1</v>
      </c>
    </row>
    <row r="93" spans="1:13" ht="28.2" thickBot="1" x14ac:dyDescent="0.35">
      <c r="A93" s="1" t="s">
        <v>54</v>
      </c>
      <c r="B93" s="1">
        <v>3343</v>
      </c>
      <c r="C93" s="1" t="s">
        <v>679</v>
      </c>
      <c r="D93" s="2" t="s">
        <v>680</v>
      </c>
      <c r="E93" s="1" t="s">
        <v>29</v>
      </c>
      <c r="F93" s="1" t="s">
        <v>21</v>
      </c>
      <c r="G93" s="1" t="s">
        <v>673</v>
      </c>
      <c r="H93" s="1" t="s">
        <v>674</v>
      </c>
      <c r="I93" s="1" t="s">
        <v>681</v>
      </c>
      <c r="J93" s="2" t="s">
        <v>394</v>
      </c>
      <c r="K93" s="2" t="s">
        <v>682</v>
      </c>
      <c r="L93" s="2" t="s">
        <v>683</v>
      </c>
      <c r="M93" s="3" t="str">
        <f>VLOOKUP(G93,справочник!$B$1:$C$94,2,0)</f>
        <v>МСК+1</v>
      </c>
    </row>
    <row r="94" spans="1:13" ht="42" thickBot="1" x14ac:dyDescent="0.35">
      <c r="A94" s="1" t="s">
        <v>146</v>
      </c>
      <c r="B94" s="1">
        <v>922</v>
      </c>
      <c r="C94" s="1" t="s">
        <v>684</v>
      </c>
      <c r="D94" s="2" t="s">
        <v>685</v>
      </c>
      <c r="E94" s="1" t="s">
        <v>29</v>
      </c>
      <c r="F94" s="1" t="s">
        <v>21</v>
      </c>
      <c r="G94" s="1" t="s">
        <v>673</v>
      </c>
      <c r="H94" s="1" t="s">
        <v>674</v>
      </c>
      <c r="I94" s="1" t="s">
        <v>686</v>
      </c>
      <c r="J94" s="2" t="s">
        <v>687</v>
      </c>
      <c r="K94" s="2" t="s">
        <v>688</v>
      </c>
      <c r="L94" s="2" t="s">
        <v>689</v>
      </c>
      <c r="M94" s="3" t="str">
        <f>VLOOKUP(G94,справочник!$B$1:$C$94,2,0)</f>
        <v>МСК+1</v>
      </c>
    </row>
    <row r="95" spans="1:13" ht="42" thickBot="1" x14ac:dyDescent="0.35">
      <c r="A95" s="1" t="s">
        <v>54</v>
      </c>
      <c r="B95" s="1">
        <v>3336</v>
      </c>
      <c r="C95" s="1" t="s">
        <v>690</v>
      </c>
      <c r="D95" s="2" t="s">
        <v>691</v>
      </c>
      <c r="E95" s="1" t="s">
        <v>29</v>
      </c>
      <c r="F95" s="1" t="s">
        <v>21</v>
      </c>
      <c r="G95" s="1" t="s">
        <v>673</v>
      </c>
      <c r="H95" s="1" t="s">
        <v>674</v>
      </c>
      <c r="I95" s="1" t="s">
        <v>692</v>
      </c>
      <c r="J95" s="2" t="s">
        <v>693</v>
      </c>
      <c r="K95" s="2" t="s">
        <v>694</v>
      </c>
      <c r="L95" s="2" t="s">
        <v>695</v>
      </c>
      <c r="M95" s="3" t="str">
        <f>VLOOKUP(G95,справочник!$B$1:$C$94,2,0)</f>
        <v>МСК+1</v>
      </c>
    </row>
    <row r="96" spans="1:13" ht="28.2" thickBot="1" x14ac:dyDescent="0.35">
      <c r="A96" s="1" t="s">
        <v>131</v>
      </c>
      <c r="B96" s="1">
        <v>685</v>
      </c>
      <c r="C96" s="1" t="s">
        <v>696</v>
      </c>
      <c r="D96" s="2" t="s">
        <v>697</v>
      </c>
      <c r="E96" s="1" t="s">
        <v>29</v>
      </c>
      <c r="F96" s="1" t="s">
        <v>21</v>
      </c>
      <c r="G96" s="1" t="s">
        <v>673</v>
      </c>
      <c r="H96" s="1" t="s">
        <v>674</v>
      </c>
      <c r="I96" s="1" t="s">
        <v>698</v>
      </c>
      <c r="J96" s="2" t="s">
        <v>467</v>
      </c>
      <c r="K96" s="2" t="s">
        <v>699</v>
      </c>
      <c r="L96" s="2" t="s">
        <v>700</v>
      </c>
      <c r="M96" s="3" t="str">
        <f>VLOOKUP(G96,справочник!$B$1:$C$94,2,0)</f>
        <v>МСК+1</v>
      </c>
    </row>
    <row r="97" spans="1:13" ht="42" thickBot="1" x14ac:dyDescent="0.35">
      <c r="A97" s="1" t="s">
        <v>168</v>
      </c>
      <c r="B97" s="1">
        <v>26</v>
      </c>
      <c r="C97" s="1" t="s">
        <v>701</v>
      </c>
      <c r="D97" s="2" t="s">
        <v>702</v>
      </c>
      <c r="E97" s="1" t="s">
        <v>29</v>
      </c>
      <c r="F97" s="1" t="s">
        <v>21</v>
      </c>
      <c r="G97" s="1" t="s">
        <v>673</v>
      </c>
      <c r="H97" s="1" t="s">
        <v>674</v>
      </c>
      <c r="I97" s="1" t="s">
        <v>703</v>
      </c>
      <c r="J97" s="2" t="s">
        <v>334</v>
      </c>
      <c r="K97" s="2" t="s">
        <v>704</v>
      </c>
      <c r="L97" s="2" t="s">
        <v>705</v>
      </c>
      <c r="M97" s="3" t="str">
        <f>VLOOKUP(G97,справочник!$B$1:$C$94,2,0)</f>
        <v>МСК+1</v>
      </c>
    </row>
    <row r="98" spans="1:13" ht="55.8" thickBot="1" x14ac:dyDescent="0.35">
      <c r="A98" s="1" t="s">
        <v>146</v>
      </c>
      <c r="B98" s="1">
        <v>27</v>
      </c>
      <c r="C98" s="1" t="s">
        <v>706</v>
      </c>
      <c r="D98" s="2" t="s">
        <v>707</v>
      </c>
      <c r="E98" s="1" t="s">
        <v>29</v>
      </c>
      <c r="F98" s="1" t="s">
        <v>21</v>
      </c>
      <c r="G98" s="1" t="s">
        <v>673</v>
      </c>
      <c r="H98" s="1" t="s">
        <v>674</v>
      </c>
      <c r="I98" s="1" t="s">
        <v>708</v>
      </c>
      <c r="J98" s="2" t="s">
        <v>709</v>
      </c>
      <c r="K98" s="2" t="s">
        <v>710</v>
      </c>
      <c r="L98" s="2" t="s">
        <v>711</v>
      </c>
      <c r="M98" s="3" t="str">
        <f>VLOOKUP(G98,справочник!$B$1:$C$94,2,0)</f>
        <v>МСК+1</v>
      </c>
    </row>
    <row r="99" spans="1:13" ht="42" thickBot="1" x14ac:dyDescent="0.35">
      <c r="A99" s="1" t="s">
        <v>146</v>
      </c>
      <c r="B99" s="1">
        <v>28</v>
      </c>
      <c r="C99" s="1" t="s">
        <v>712</v>
      </c>
      <c r="D99" s="2" t="s">
        <v>713</v>
      </c>
      <c r="E99" s="1" t="s">
        <v>29</v>
      </c>
      <c r="F99" s="1" t="s">
        <v>21</v>
      </c>
      <c r="G99" s="1" t="s">
        <v>673</v>
      </c>
      <c r="H99" s="1" t="s">
        <v>674</v>
      </c>
      <c r="I99" s="1" t="s">
        <v>714</v>
      </c>
      <c r="J99" s="2" t="s">
        <v>715</v>
      </c>
      <c r="K99" s="2" t="s">
        <v>716</v>
      </c>
      <c r="L99" s="2" t="s">
        <v>717</v>
      </c>
      <c r="M99" s="3" t="str">
        <f>VLOOKUP(G99,справочник!$B$1:$C$94,2,0)</f>
        <v>МСК+1</v>
      </c>
    </row>
    <row r="100" spans="1:13" ht="28.2" thickBot="1" x14ac:dyDescent="0.35">
      <c r="A100" s="1" t="s">
        <v>12</v>
      </c>
      <c r="B100" s="1">
        <v>3127</v>
      </c>
      <c r="C100" s="1" t="s">
        <v>718</v>
      </c>
      <c r="D100" s="2" t="s">
        <v>719</v>
      </c>
      <c r="E100" s="1" t="s">
        <v>29</v>
      </c>
      <c r="F100" s="1" t="s">
        <v>21</v>
      </c>
      <c r="G100" s="1" t="s">
        <v>673</v>
      </c>
      <c r="H100" s="1" t="s">
        <v>674</v>
      </c>
      <c r="I100" s="1" t="s">
        <v>720</v>
      </c>
      <c r="J100" s="2" t="s">
        <v>721</v>
      </c>
      <c r="K100" s="2" t="s">
        <v>722</v>
      </c>
      <c r="L100" s="2" t="s">
        <v>723</v>
      </c>
      <c r="M100" s="3" t="str">
        <f>VLOOKUP(G100,справочник!$B$1:$C$94,2,0)</f>
        <v>МСК+1</v>
      </c>
    </row>
    <row r="101" spans="1:13" ht="42" thickBot="1" x14ac:dyDescent="0.35">
      <c r="A101" s="1" t="s">
        <v>724</v>
      </c>
      <c r="B101" s="1">
        <v>504</v>
      </c>
      <c r="C101" s="1" t="s">
        <v>725</v>
      </c>
      <c r="D101" s="2" t="s">
        <v>726</v>
      </c>
      <c r="E101" s="1" t="s">
        <v>29</v>
      </c>
      <c r="F101" s="1" t="s">
        <v>222</v>
      </c>
      <c r="G101" s="1" t="s">
        <v>727</v>
      </c>
      <c r="H101" s="1" t="s">
        <v>728</v>
      </c>
      <c r="I101" s="1" t="s">
        <v>729</v>
      </c>
      <c r="J101" s="2" t="s">
        <v>730</v>
      </c>
      <c r="K101" s="2" t="s">
        <v>731</v>
      </c>
      <c r="L101" s="2" t="s">
        <v>732</v>
      </c>
      <c r="M101" s="3" t="str">
        <f>VLOOKUP(G101,справочник!$B$1:$C$94,2,0)</f>
        <v>МСК</v>
      </c>
    </row>
    <row r="102" spans="1:13" ht="42" thickBot="1" x14ac:dyDescent="0.35">
      <c r="A102" s="1" t="s">
        <v>54</v>
      </c>
      <c r="B102" s="1">
        <v>3344</v>
      </c>
      <c r="C102" s="1" t="s">
        <v>733</v>
      </c>
      <c r="D102" s="2" t="s">
        <v>734</v>
      </c>
      <c r="E102" s="1" t="s">
        <v>29</v>
      </c>
      <c r="F102" s="1" t="s">
        <v>21</v>
      </c>
      <c r="G102" s="1" t="s">
        <v>673</v>
      </c>
      <c r="H102" s="1" t="s">
        <v>736</v>
      </c>
      <c r="I102" s="1" t="s">
        <v>737</v>
      </c>
      <c r="J102" s="2" t="s">
        <v>738</v>
      </c>
      <c r="K102" s="2" t="s">
        <v>739</v>
      </c>
      <c r="L102" s="2" t="s">
        <v>735</v>
      </c>
      <c r="M102" s="3" t="str">
        <f>VLOOKUP(G102,справочник!$B$1:$C$94,2,0)</f>
        <v>МСК+1</v>
      </c>
    </row>
    <row r="103" spans="1:13" ht="42" thickBot="1" x14ac:dyDescent="0.35">
      <c r="A103" s="1" t="s">
        <v>261</v>
      </c>
      <c r="B103" s="1">
        <v>771</v>
      </c>
      <c r="C103" s="1" t="s">
        <v>742</v>
      </c>
      <c r="D103" s="2" t="s">
        <v>743</v>
      </c>
      <c r="E103" s="1" t="s">
        <v>29</v>
      </c>
      <c r="F103" s="1" t="s">
        <v>30</v>
      </c>
      <c r="G103" s="1" t="s">
        <v>744</v>
      </c>
      <c r="H103" s="1" t="s">
        <v>746</v>
      </c>
      <c r="I103" s="1" t="s">
        <v>747</v>
      </c>
      <c r="J103" s="2" t="s">
        <v>748</v>
      </c>
      <c r="K103" s="2" t="s">
        <v>749</v>
      </c>
      <c r="L103" s="2" t="s">
        <v>745</v>
      </c>
      <c r="M103" s="3" t="str">
        <f>VLOOKUP(G103,справочник!$B$1:$C$94,2,0)</f>
        <v>МСК</v>
      </c>
    </row>
    <row r="104" spans="1:13" ht="42" thickBot="1" x14ac:dyDescent="0.35">
      <c r="A104" s="1" t="s">
        <v>146</v>
      </c>
      <c r="B104" s="1">
        <v>29</v>
      </c>
      <c r="C104" s="1" t="s">
        <v>751</v>
      </c>
      <c r="D104" s="2" t="s">
        <v>752</v>
      </c>
      <c r="E104" s="1" t="s">
        <v>29</v>
      </c>
      <c r="F104" s="1" t="s">
        <v>30</v>
      </c>
      <c r="G104" s="1" t="s">
        <v>744</v>
      </c>
      <c r="H104" s="1" t="s">
        <v>750</v>
      </c>
      <c r="I104" s="1" t="s">
        <v>753</v>
      </c>
      <c r="J104" s="2" t="s">
        <v>754</v>
      </c>
      <c r="K104" s="2" t="s">
        <v>755</v>
      </c>
      <c r="L104" s="2" t="s">
        <v>756</v>
      </c>
      <c r="M104" s="3" t="str">
        <f>VLOOKUP(G104,справочник!$B$1:$C$94,2,0)</f>
        <v>МСК</v>
      </c>
    </row>
    <row r="105" spans="1:13" ht="42" thickBot="1" x14ac:dyDescent="0.35">
      <c r="A105" s="1" t="s">
        <v>146</v>
      </c>
      <c r="B105" s="1">
        <v>2082</v>
      </c>
      <c r="C105" s="1" t="s">
        <v>757</v>
      </c>
      <c r="D105" s="2" t="s">
        <v>758</v>
      </c>
      <c r="E105" s="1" t="s">
        <v>20</v>
      </c>
      <c r="F105" s="1" t="s">
        <v>30</v>
      </c>
      <c r="G105" s="1" t="s">
        <v>744</v>
      </c>
      <c r="H105" s="1" t="s">
        <v>750</v>
      </c>
      <c r="I105" s="1" t="s">
        <v>760</v>
      </c>
      <c r="J105" s="2" t="s">
        <v>761</v>
      </c>
      <c r="K105" s="2" t="s">
        <v>762</v>
      </c>
      <c r="L105" s="2" t="s">
        <v>759</v>
      </c>
      <c r="M105" s="3" t="str">
        <f>VLOOKUP(G105,справочник!$B$1:$C$94,2,0)</f>
        <v>МСК</v>
      </c>
    </row>
    <row r="106" spans="1:13" ht="42" thickBot="1" x14ac:dyDescent="0.35">
      <c r="A106" s="1" t="s">
        <v>621</v>
      </c>
      <c r="B106" s="1">
        <v>539</v>
      </c>
      <c r="C106" s="1" t="s">
        <v>763</v>
      </c>
      <c r="D106" s="2" t="s">
        <v>764</v>
      </c>
      <c r="E106" s="1" t="s">
        <v>29</v>
      </c>
      <c r="F106" s="1" t="s">
        <v>14</v>
      </c>
      <c r="G106" s="1" t="s">
        <v>765</v>
      </c>
      <c r="H106" s="1" t="s">
        <v>766</v>
      </c>
      <c r="I106" s="1" t="s">
        <v>767</v>
      </c>
      <c r="J106" s="2" t="s">
        <v>768</v>
      </c>
      <c r="K106" s="2" t="s">
        <v>769</v>
      </c>
      <c r="L106" s="2" t="s">
        <v>770</v>
      </c>
      <c r="M106" s="3" t="str">
        <f>VLOOKUP(G106,справочник!$B$1:$C$94,2,0)</f>
        <v>МСК</v>
      </c>
    </row>
    <row r="107" spans="1:13" ht="42" thickBot="1" x14ac:dyDescent="0.35">
      <c r="A107" s="1" t="s">
        <v>12</v>
      </c>
      <c r="B107" s="1">
        <v>7846</v>
      </c>
      <c r="C107" s="1" t="s">
        <v>771</v>
      </c>
      <c r="D107" s="2" t="s">
        <v>772</v>
      </c>
      <c r="E107" s="1" t="s">
        <v>773</v>
      </c>
      <c r="F107" s="1" t="s">
        <v>14</v>
      </c>
      <c r="G107" s="1" t="s">
        <v>765</v>
      </c>
      <c r="H107" s="1" t="s">
        <v>775</v>
      </c>
      <c r="I107" s="1" t="s">
        <v>776</v>
      </c>
      <c r="J107" s="2" t="s">
        <v>777</v>
      </c>
      <c r="K107" s="2" t="s">
        <v>778</v>
      </c>
      <c r="L107" s="2" t="s">
        <v>774</v>
      </c>
      <c r="M107" s="3" t="str">
        <f>VLOOKUP(G107,справочник!$B$1:$C$94,2,0)</f>
        <v>МСК</v>
      </c>
    </row>
    <row r="108" spans="1:13" ht="42" thickBot="1" x14ac:dyDescent="0.35">
      <c r="A108" s="1" t="s">
        <v>261</v>
      </c>
      <c r="B108" s="1">
        <v>795</v>
      </c>
      <c r="C108" s="1" t="s">
        <v>779</v>
      </c>
      <c r="D108" s="2" t="s">
        <v>780</v>
      </c>
      <c r="E108" s="1" t="s">
        <v>29</v>
      </c>
      <c r="F108" s="1" t="s">
        <v>14</v>
      </c>
      <c r="G108" s="1" t="s">
        <v>765</v>
      </c>
      <c r="H108" s="1" t="s">
        <v>782</v>
      </c>
      <c r="I108" s="1" t="s">
        <v>783</v>
      </c>
      <c r="J108" s="2" t="s">
        <v>784</v>
      </c>
      <c r="K108" s="2" t="s">
        <v>785</v>
      </c>
      <c r="L108" s="2" t="s">
        <v>781</v>
      </c>
      <c r="M108" s="3" t="str">
        <f>VLOOKUP(G108,справочник!$B$1:$C$94,2,0)</f>
        <v>МСК</v>
      </c>
    </row>
    <row r="109" spans="1:13" ht="42" thickBot="1" x14ac:dyDescent="0.35">
      <c r="A109" s="1" t="s">
        <v>177</v>
      </c>
      <c r="B109" s="1">
        <v>763</v>
      </c>
      <c r="C109" s="1" t="s">
        <v>786</v>
      </c>
      <c r="D109" s="2" t="s">
        <v>787</v>
      </c>
      <c r="E109" s="1" t="s">
        <v>29</v>
      </c>
      <c r="F109" s="1" t="s">
        <v>14</v>
      </c>
      <c r="G109" s="1" t="s">
        <v>765</v>
      </c>
      <c r="H109" s="1" t="s">
        <v>766</v>
      </c>
      <c r="I109" s="1" t="s">
        <v>788</v>
      </c>
      <c r="J109" s="2" t="s">
        <v>789</v>
      </c>
      <c r="K109" s="2" t="s">
        <v>790</v>
      </c>
      <c r="L109" s="2" t="s">
        <v>791</v>
      </c>
      <c r="M109" s="3" t="str">
        <f>VLOOKUP(G109,справочник!$B$1:$C$94,2,0)</f>
        <v>МСК</v>
      </c>
    </row>
    <row r="110" spans="1:13" ht="42" thickBot="1" x14ac:dyDescent="0.35">
      <c r="A110" s="1" t="s">
        <v>146</v>
      </c>
      <c r="B110" s="1">
        <v>30</v>
      </c>
      <c r="C110" s="1" t="s">
        <v>792</v>
      </c>
      <c r="D110" s="2" t="s">
        <v>793</v>
      </c>
      <c r="E110" s="1" t="s">
        <v>29</v>
      </c>
      <c r="F110" s="1" t="s">
        <v>14</v>
      </c>
      <c r="G110" s="1" t="s">
        <v>765</v>
      </c>
      <c r="H110" s="1" t="s">
        <v>766</v>
      </c>
      <c r="I110" s="1" t="s">
        <v>794</v>
      </c>
      <c r="J110" s="2" t="s">
        <v>795</v>
      </c>
      <c r="K110" s="2" t="s">
        <v>796</v>
      </c>
      <c r="L110" s="2" t="s">
        <v>797</v>
      </c>
      <c r="M110" s="3" t="str">
        <f>VLOOKUP(G110,справочник!$B$1:$C$94,2,0)</f>
        <v>МСК</v>
      </c>
    </row>
    <row r="111" spans="1:13" ht="55.8" thickBot="1" x14ac:dyDescent="0.35">
      <c r="A111" s="1" t="s">
        <v>131</v>
      </c>
      <c r="B111" s="1">
        <v>602</v>
      </c>
      <c r="C111" s="1" t="s">
        <v>798</v>
      </c>
      <c r="D111" s="2" t="s">
        <v>799</v>
      </c>
      <c r="E111" s="1" t="s">
        <v>29</v>
      </c>
      <c r="F111" s="1" t="s">
        <v>14</v>
      </c>
      <c r="G111" s="1" t="s">
        <v>765</v>
      </c>
      <c r="H111" s="1" t="s">
        <v>766</v>
      </c>
      <c r="I111" s="1" t="s">
        <v>801</v>
      </c>
      <c r="J111" s="2" t="s">
        <v>802</v>
      </c>
      <c r="K111" s="2" t="s">
        <v>803</v>
      </c>
      <c r="L111" s="2" t="s">
        <v>800</v>
      </c>
      <c r="M111" s="3" t="str">
        <f>VLOOKUP(G111,справочник!$B$1:$C$94,2,0)</f>
        <v>МСК</v>
      </c>
    </row>
    <row r="112" spans="1:13" ht="42" thickBot="1" x14ac:dyDescent="0.35">
      <c r="A112" s="1" t="s">
        <v>168</v>
      </c>
      <c r="B112" s="1">
        <v>33</v>
      </c>
      <c r="C112" s="1" t="s">
        <v>804</v>
      </c>
      <c r="D112" s="2" t="s">
        <v>805</v>
      </c>
      <c r="E112" s="1" t="s">
        <v>29</v>
      </c>
      <c r="F112" s="1" t="s">
        <v>14</v>
      </c>
      <c r="G112" s="1" t="s">
        <v>765</v>
      </c>
      <c r="H112" s="1" t="s">
        <v>766</v>
      </c>
      <c r="I112" s="1" t="s">
        <v>807</v>
      </c>
      <c r="J112" s="2" t="s">
        <v>513</v>
      </c>
      <c r="K112" s="2" t="s">
        <v>808</v>
      </c>
      <c r="L112" s="2" t="s">
        <v>806</v>
      </c>
      <c r="M112" s="3" t="str">
        <f>VLOOKUP(G112,справочник!$B$1:$C$94,2,0)</f>
        <v>МСК</v>
      </c>
    </row>
    <row r="113" spans="1:13" ht="42" thickBot="1" x14ac:dyDescent="0.35">
      <c r="A113" s="1" t="s">
        <v>146</v>
      </c>
      <c r="B113" s="1">
        <v>34</v>
      </c>
      <c r="C113" s="1" t="s">
        <v>809</v>
      </c>
      <c r="D113" s="2" t="s">
        <v>810</v>
      </c>
      <c r="E113" s="1" t="s">
        <v>29</v>
      </c>
      <c r="F113" s="1" t="s">
        <v>14</v>
      </c>
      <c r="G113" s="1" t="s">
        <v>765</v>
      </c>
      <c r="H113" s="1" t="s">
        <v>766</v>
      </c>
      <c r="I113" s="1" t="s">
        <v>812</v>
      </c>
      <c r="J113" s="2" t="s">
        <v>813</v>
      </c>
      <c r="K113" s="2" t="s">
        <v>814</v>
      </c>
      <c r="L113" s="2" t="s">
        <v>811</v>
      </c>
      <c r="M113" s="3" t="str">
        <f>VLOOKUP(G113,справочник!$B$1:$C$94,2,0)</f>
        <v>МСК</v>
      </c>
    </row>
    <row r="114" spans="1:13" ht="42" thickBot="1" x14ac:dyDescent="0.35">
      <c r="A114" s="1" t="s">
        <v>146</v>
      </c>
      <c r="B114" s="1">
        <v>35</v>
      </c>
      <c r="C114" s="1" t="s">
        <v>815</v>
      </c>
      <c r="D114" s="2" t="s">
        <v>816</v>
      </c>
      <c r="E114" s="1" t="s">
        <v>29</v>
      </c>
      <c r="F114" s="1" t="s">
        <v>14</v>
      </c>
      <c r="G114" s="1" t="s">
        <v>765</v>
      </c>
      <c r="H114" s="1" t="s">
        <v>766</v>
      </c>
      <c r="I114" s="1" t="s">
        <v>817</v>
      </c>
      <c r="J114" s="2" t="s">
        <v>818</v>
      </c>
      <c r="K114" s="2" t="s">
        <v>819</v>
      </c>
      <c r="L114" s="2" t="s">
        <v>820</v>
      </c>
      <c r="M114" s="3" t="str">
        <f>VLOOKUP(G114,справочник!$B$1:$C$94,2,0)</f>
        <v>МСК</v>
      </c>
    </row>
    <row r="115" spans="1:13" ht="42" thickBot="1" x14ac:dyDescent="0.35">
      <c r="A115" s="1" t="s">
        <v>146</v>
      </c>
      <c r="B115" s="1">
        <v>31</v>
      </c>
      <c r="C115" s="1" t="s">
        <v>821</v>
      </c>
      <c r="D115" s="2" t="s">
        <v>822</v>
      </c>
      <c r="E115" s="1" t="s">
        <v>29</v>
      </c>
      <c r="F115" s="1" t="s">
        <v>14</v>
      </c>
      <c r="G115" s="1" t="s">
        <v>765</v>
      </c>
      <c r="H115" s="1" t="s">
        <v>766</v>
      </c>
      <c r="I115" s="1" t="s">
        <v>824</v>
      </c>
      <c r="J115" s="2" t="s">
        <v>825</v>
      </c>
      <c r="K115" s="2" t="s">
        <v>826</v>
      </c>
      <c r="L115" s="2" t="s">
        <v>823</v>
      </c>
      <c r="M115" s="3" t="str">
        <f>VLOOKUP(G115,справочник!$B$1:$C$94,2,0)</f>
        <v>МСК</v>
      </c>
    </row>
    <row r="116" spans="1:13" ht="42" thickBot="1" x14ac:dyDescent="0.35">
      <c r="A116" s="1" t="s">
        <v>12</v>
      </c>
      <c r="B116" s="1">
        <v>3282</v>
      </c>
      <c r="C116" s="1" t="s">
        <v>827</v>
      </c>
      <c r="D116" s="2" t="s">
        <v>828</v>
      </c>
      <c r="E116" s="1" t="s">
        <v>29</v>
      </c>
      <c r="F116" s="1" t="s">
        <v>14</v>
      </c>
      <c r="G116" s="1" t="s">
        <v>765</v>
      </c>
      <c r="H116" s="1" t="s">
        <v>766</v>
      </c>
      <c r="I116" s="1" t="s">
        <v>829</v>
      </c>
      <c r="J116" s="2" t="s">
        <v>613</v>
      </c>
      <c r="K116" s="2" t="s">
        <v>830</v>
      </c>
      <c r="L116" s="2" t="s">
        <v>831</v>
      </c>
      <c r="M116" s="3" t="str">
        <f>VLOOKUP(G116,справочник!$B$1:$C$94,2,0)</f>
        <v>МСК</v>
      </c>
    </row>
    <row r="117" spans="1:13" ht="28.2" thickBot="1" x14ac:dyDescent="0.35">
      <c r="A117" s="1" t="s">
        <v>54</v>
      </c>
      <c r="B117" s="1">
        <v>3171</v>
      </c>
      <c r="C117" s="1" t="s">
        <v>832</v>
      </c>
      <c r="D117" s="2" t="s">
        <v>833</v>
      </c>
      <c r="E117" s="1" t="s">
        <v>29</v>
      </c>
      <c r="F117" s="1" t="s">
        <v>14</v>
      </c>
      <c r="G117" s="1" t="s">
        <v>765</v>
      </c>
      <c r="H117" s="1" t="s">
        <v>766</v>
      </c>
      <c r="I117" s="1" t="s">
        <v>834</v>
      </c>
      <c r="J117" s="2" t="s">
        <v>835</v>
      </c>
      <c r="K117" s="2" t="s">
        <v>836</v>
      </c>
      <c r="L117" s="2" t="s">
        <v>837</v>
      </c>
      <c r="M117" s="3" t="str">
        <f>VLOOKUP(G117,справочник!$B$1:$C$94,2,0)</f>
        <v>МСК</v>
      </c>
    </row>
    <row r="118" spans="1:13" ht="42" thickBot="1" x14ac:dyDescent="0.35">
      <c r="A118" s="1" t="s">
        <v>146</v>
      </c>
      <c r="B118" s="1">
        <v>1999</v>
      </c>
      <c r="C118" s="1" t="s">
        <v>838</v>
      </c>
      <c r="D118" s="2" t="s">
        <v>839</v>
      </c>
      <c r="E118" s="1" t="s">
        <v>20</v>
      </c>
      <c r="F118" s="1" t="s">
        <v>14</v>
      </c>
      <c r="G118" s="1" t="s">
        <v>765</v>
      </c>
      <c r="H118" s="1" t="s">
        <v>841</v>
      </c>
      <c r="I118" s="1" t="s">
        <v>842</v>
      </c>
      <c r="J118" s="2" t="s">
        <v>843</v>
      </c>
      <c r="K118" s="2" t="s">
        <v>844</v>
      </c>
      <c r="L118" s="2" t="s">
        <v>840</v>
      </c>
      <c r="M118" s="3" t="str">
        <f>VLOOKUP(G118,справочник!$B$1:$C$94,2,0)</f>
        <v>МСК</v>
      </c>
    </row>
    <row r="119" spans="1:13" ht="42" thickBot="1" x14ac:dyDescent="0.35">
      <c r="A119" s="1" t="s">
        <v>12</v>
      </c>
      <c r="B119" s="1">
        <v>1450</v>
      </c>
      <c r="C119" s="1" t="s">
        <v>845</v>
      </c>
      <c r="D119" s="2" t="s">
        <v>846</v>
      </c>
      <c r="E119" s="1" t="s">
        <v>29</v>
      </c>
      <c r="F119" s="1" t="s">
        <v>14</v>
      </c>
      <c r="G119" s="1" t="s">
        <v>765</v>
      </c>
      <c r="H119" s="1" t="s">
        <v>766</v>
      </c>
      <c r="I119" s="1" t="s">
        <v>847</v>
      </c>
      <c r="J119" s="2" t="s">
        <v>848</v>
      </c>
      <c r="K119" s="2" t="s">
        <v>849</v>
      </c>
      <c r="L119" s="2" t="s">
        <v>850</v>
      </c>
      <c r="M119" s="3" t="str">
        <f>VLOOKUP(G119,справочник!$B$1:$C$94,2,0)</f>
        <v>МСК</v>
      </c>
    </row>
    <row r="120" spans="1:13" ht="28.2" thickBot="1" x14ac:dyDescent="0.35">
      <c r="A120" s="1" t="s">
        <v>12</v>
      </c>
      <c r="B120" s="1">
        <v>902</v>
      </c>
      <c r="C120" s="1" t="s">
        <v>851</v>
      </c>
      <c r="D120" s="2" t="s">
        <v>852</v>
      </c>
      <c r="E120" s="1" t="s">
        <v>29</v>
      </c>
      <c r="F120" s="1" t="s">
        <v>222</v>
      </c>
      <c r="G120" s="1" t="s">
        <v>472</v>
      </c>
      <c r="H120" s="1" t="s">
        <v>473</v>
      </c>
      <c r="I120" s="1" t="s">
        <v>853</v>
      </c>
      <c r="J120" s="2" t="s">
        <v>854</v>
      </c>
      <c r="K120" s="2" t="s">
        <v>855</v>
      </c>
      <c r="L120" s="2" t="s">
        <v>856</v>
      </c>
      <c r="M120" s="3" t="str">
        <f>VLOOKUP(G120,справочник!$B$1:$C$94,2,0)</f>
        <v>МСК+2</v>
      </c>
    </row>
    <row r="121" spans="1:13" ht="28.2" thickBot="1" x14ac:dyDescent="0.35">
      <c r="A121" s="1" t="s">
        <v>12</v>
      </c>
      <c r="B121" s="1">
        <v>3218</v>
      </c>
      <c r="C121" s="1" t="s">
        <v>857</v>
      </c>
      <c r="D121" s="2" t="s">
        <v>858</v>
      </c>
      <c r="E121" s="1" t="s">
        <v>29</v>
      </c>
      <c r="F121" s="1" t="s">
        <v>30</v>
      </c>
      <c r="G121" s="1" t="s">
        <v>31</v>
      </c>
      <c r="H121" s="1" t="s">
        <v>32</v>
      </c>
      <c r="I121" s="1" t="s">
        <v>860</v>
      </c>
      <c r="J121" s="2" t="s">
        <v>861</v>
      </c>
      <c r="K121" s="2" t="s">
        <v>859</v>
      </c>
      <c r="L121" s="2" t="s">
        <v>862</v>
      </c>
      <c r="M121" s="3" t="str">
        <f>VLOOKUP(G121,справочник!$B$1:$C$94,2,0)</f>
        <v>МСК</v>
      </c>
    </row>
    <row r="122" spans="1:13" ht="42" thickBot="1" x14ac:dyDescent="0.35">
      <c r="A122" s="1" t="s">
        <v>177</v>
      </c>
      <c r="B122" s="1">
        <v>729</v>
      </c>
      <c r="C122" s="1" t="s">
        <v>863</v>
      </c>
      <c r="D122" s="2" t="s">
        <v>864</v>
      </c>
      <c r="E122" s="1" t="s">
        <v>29</v>
      </c>
      <c r="F122" s="1" t="s">
        <v>114</v>
      </c>
      <c r="G122" s="1" t="s">
        <v>418</v>
      </c>
      <c r="H122" s="1" t="s">
        <v>433</v>
      </c>
      <c r="I122" s="1" t="s">
        <v>866</v>
      </c>
      <c r="J122" s="2" t="s">
        <v>867</v>
      </c>
      <c r="K122" s="2" t="s">
        <v>868</v>
      </c>
      <c r="L122" s="2" t="s">
        <v>865</v>
      </c>
      <c r="M122" s="3" t="str">
        <f>VLOOKUP(G122,справочник!$B$1:$C$94,2,0)</f>
        <v>МСК+5</v>
      </c>
    </row>
    <row r="123" spans="1:13" ht="42" thickBot="1" x14ac:dyDescent="0.35">
      <c r="A123" s="1" t="s">
        <v>146</v>
      </c>
      <c r="B123" s="1">
        <v>36</v>
      </c>
      <c r="C123" s="1" t="s">
        <v>869</v>
      </c>
      <c r="D123" s="2" t="s">
        <v>870</v>
      </c>
      <c r="E123" s="1" t="s">
        <v>29</v>
      </c>
      <c r="F123" s="1" t="s">
        <v>114</v>
      </c>
      <c r="G123" s="1" t="s">
        <v>418</v>
      </c>
      <c r="H123" s="1" t="s">
        <v>433</v>
      </c>
      <c r="I123" s="1" t="s">
        <v>873</v>
      </c>
      <c r="J123" s="2" t="s">
        <v>874</v>
      </c>
      <c r="K123" s="2" t="s">
        <v>871</v>
      </c>
      <c r="L123" s="2" t="s">
        <v>872</v>
      </c>
      <c r="M123" s="3" t="str">
        <f>VLOOKUP(G123,справочник!$B$1:$C$94,2,0)</f>
        <v>МСК+5</v>
      </c>
    </row>
    <row r="124" spans="1:13" ht="42" thickBot="1" x14ac:dyDescent="0.35">
      <c r="A124" s="1" t="s">
        <v>146</v>
      </c>
      <c r="B124" s="1">
        <v>2057</v>
      </c>
      <c r="C124" s="1" t="s">
        <v>875</v>
      </c>
      <c r="D124" s="2" t="s">
        <v>876</v>
      </c>
      <c r="E124" s="1" t="s">
        <v>20</v>
      </c>
      <c r="F124" s="1" t="s">
        <v>36</v>
      </c>
      <c r="G124" s="1" t="s">
        <v>330</v>
      </c>
      <c r="H124" s="1" t="s">
        <v>332</v>
      </c>
      <c r="I124" s="1" t="s">
        <v>877</v>
      </c>
      <c r="J124" s="2" t="s">
        <v>878</v>
      </c>
      <c r="K124" s="2" t="s">
        <v>879</v>
      </c>
      <c r="L124" s="2" t="s">
        <v>880</v>
      </c>
      <c r="M124" s="3" t="str">
        <f>VLOOKUP(G124,справочник!$B$1:$C$94,2,0)</f>
        <v>МСК+5</v>
      </c>
    </row>
    <row r="125" spans="1:13" ht="42" thickBot="1" x14ac:dyDescent="0.35">
      <c r="A125" s="1" t="s">
        <v>12</v>
      </c>
      <c r="B125" s="1">
        <v>928</v>
      </c>
      <c r="C125" s="1" t="s">
        <v>881</v>
      </c>
      <c r="D125" s="2" t="s">
        <v>882</v>
      </c>
      <c r="E125" s="1" t="s">
        <v>29</v>
      </c>
      <c r="F125" s="1" t="s">
        <v>36</v>
      </c>
      <c r="G125" s="1" t="s">
        <v>330</v>
      </c>
      <c r="H125" s="1" t="s">
        <v>411</v>
      </c>
      <c r="I125" s="1" t="s">
        <v>883</v>
      </c>
      <c r="J125" s="2" t="s">
        <v>884</v>
      </c>
      <c r="K125" s="2" t="s">
        <v>885</v>
      </c>
      <c r="L125" s="2" t="s">
        <v>886</v>
      </c>
      <c r="M125" s="3" t="str">
        <f>VLOOKUP(G125,справочник!$B$1:$C$94,2,0)</f>
        <v>МСК+5</v>
      </c>
    </row>
    <row r="126" spans="1:13" ht="42" thickBot="1" x14ac:dyDescent="0.35">
      <c r="A126" s="1" t="s">
        <v>887</v>
      </c>
      <c r="B126" s="1">
        <v>524</v>
      </c>
      <c r="C126" s="1" t="s">
        <v>888</v>
      </c>
      <c r="D126" s="2" t="s">
        <v>889</v>
      </c>
      <c r="E126" s="1" t="s">
        <v>29</v>
      </c>
      <c r="F126" s="1" t="s">
        <v>14</v>
      </c>
      <c r="G126" s="1" t="s">
        <v>15</v>
      </c>
      <c r="H126" s="1" t="s">
        <v>16</v>
      </c>
      <c r="I126" s="1" t="s">
        <v>890</v>
      </c>
      <c r="J126" s="2" t="s">
        <v>891</v>
      </c>
      <c r="K126" s="2" t="s">
        <v>892</v>
      </c>
      <c r="L126" s="2" t="s">
        <v>893</v>
      </c>
      <c r="M126" s="3" t="str">
        <f>VLOOKUP(G126,справочник!$B$1:$C$94,2,0)</f>
        <v>МСК</v>
      </c>
    </row>
    <row r="127" spans="1:13" ht="42" thickBot="1" x14ac:dyDescent="0.35">
      <c r="A127" s="1" t="s">
        <v>894</v>
      </c>
      <c r="B127" s="1">
        <v>702</v>
      </c>
      <c r="C127" s="1" t="s">
        <v>895</v>
      </c>
      <c r="D127" s="2" t="s">
        <v>896</v>
      </c>
      <c r="E127" s="1" t="s">
        <v>29</v>
      </c>
      <c r="F127" s="1" t="s">
        <v>14</v>
      </c>
      <c r="G127" s="1" t="s">
        <v>15</v>
      </c>
      <c r="H127" s="1" t="s">
        <v>16</v>
      </c>
      <c r="I127" s="1" t="s">
        <v>897</v>
      </c>
      <c r="J127" s="2" t="s">
        <v>381</v>
      </c>
      <c r="K127" s="2" t="s">
        <v>898</v>
      </c>
      <c r="L127" s="2" t="s">
        <v>899</v>
      </c>
      <c r="M127" s="3" t="str">
        <f>VLOOKUP(G127,справочник!$B$1:$C$94,2,0)</f>
        <v>МСК</v>
      </c>
    </row>
    <row r="128" spans="1:13" ht="42" thickBot="1" x14ac:dyDescent="0.35">
      <c r="A128" s="1" t="s">
        <v>177</v>
      </c>
      <c r="B128" s="1">
        <v>772</v>
      </c>
      <c r="C128" s="1" t="s">
        <v>900</v>
      </c>
      <c r="D128" s="2" t="s">
        <v>901</v>
      </c>
      <c r="E128" s="1" t="s">
        <v>29</v>
      </c>
      <c r="F128" s="1" t="s">
        <v>14</v>
      </c>
      <c r="G128" s="1" t="s">
        <v>15</v>
      </c>
      <c r="H128" s="1" t="s">
        <v>16</v>
      </c>
      <c r="I128" s="1" t="s">
        <v>902</v>
      </c>
      <c r="J128" s="2" t="s">
        <v>903</v>
      </c>
      <c r="K128" s="2" t="s">
        <v>904</v>
      </c>
      <c r="L128" s="2" t="s">
        <v>905</v>
      </c>
      <c r="M128" s="3" t="str">
        <f>VLOOKUP(G128,справочник!$B$1:$C$94,2,0)</f>
        <v>МСК</v>
      </c>
    </row>
    <row r="129" spans="1:13" ht="42" thickBot="1" x14ac:dyDescent="0.35">
      <c r="A129" s="1" t="s">
        <v>906</v>
      </c>
      <c r="B129" s="1">
        <v>3462</v>
      </c>
      <c r="C129" s="1" t="s">
        <v>907</v>
      </c>
      <c r="D129" s="2" t="s">
        <v>908</v>
      </c>
      <c r="E129" s="1" t="s">
        <v>104</v>
      </c>
      <c r="F129" s="1" t="s">
        <v>14</v>
      </c>
      <c r="G129" s="1" t="s">
        <v>15</v>
      </c>
      <c r="H129" s="1" t="s">
        <v>16</v>
      </c>
      <c r="I129" s="1" t="s">
        <v>910</v>
      </c>
      <c r="J129" s="2" t="s">
        <v>232</v>
      </c>
      <c r="K129" s="2" t="s">
        <v>911</v>
      </c>
      <c r="L129" s="2" t="s">
        <v>909</v>
      </c>
      <c r="M129" s="3" t="str">
        <f>VLOOKUP(G129,справочник!$B$1:$C$94,2,0)</f>
        <v>МСК</v>
      </c>
    </row>
    <row r="130" spans="1:13" ht="42" thickBot="1" x14ac:dyDescent="0.35">
      <c r="A130" s="1" t="s">
        <v>146</v>
      </c>
      <c r="B130" s="1">
        <v>1797</v>
      </c>
      <c r="C130" s="1" t="s">
        <v>912</v>
      </c>
      <c r="D130" s="2" t="s">
        <v>913</v>
      </c>
      <c r="E130" s="1" t="s">
        <v>20</v>
      </c>
      <c r="F130" s="1" t="s">
        <v>14</v>
      </c>
      <c r="G130" s="1" t="s">
        <v>15</v>
      </c>
      <c r="H130" s="1" t="s">
        <v>16</v>
      </c>
      <c r="I130" s="1" t="s">
        <v>914</v>
      </c>
      <c r="J130" s="2" t="s">
        <v>915</v>
      </c>
      <c r="K130" s="2" t="s">
        <v>916</v>
      </c>
      <c r="L130" s="2" t="s">
        <v>917</v>
      </c>
      <c r="M130" s="3" t="str">
        <f>VLOOKUP(G130,справочник!$B$1:$C$94,2,0)</f>
        <v>МСК</v>
      </c>
    </row>
    <row r="131" spans="1:13" ht="42" thickBot="1" x14ac:dyDescent="0.35">
      <c r="A131" s="1" t="s">
        <v>261</v>
      </c>
      <c r="B131" s="1">
        <v>7562</v>
      </c>
      <c r="C131" s="1" t="s">
        <v>918</v>
      </c>
      <c r="D131" s="2" t="s">
        <v>919</v>
      </c>
      <c r="E131" s="1" t="s">
        <v>20</v>
      </c>
      <c r="F131" s="1" t="s">
        <v>14</v>
      </c>
      <c r="G131" s="1" t="s">
        <v>43</v>
      </c>
      <c r="H131" s="1" t="s">
        <v>920</v>
      </c>
      <c r="I131" s="1" t="s">
        <v>921</v>
      </c>
      <c r="J131" s="2" t="s">
        <v>922</v>
      </c>
      <c r="K131" s="2" t="s">
        <v>923</v>
      </c>
      <c r="L131" s="2" t="s">
        <v>924</v>
      </c>
      <c r="M131" s="3" t="str">
        <f>VLOOKUP(G131,справочник!$B$1:$C$94,2,0)</f>
        <v>МСК</v>
      </c>
    </row>
    <row r="132" spans="1:13" ht="42" thickBot="1" x14ac:dyDescent="0.35">
      <c r="A132" s="1" t="s">
        <v>146</v>
      </c>
      <c r="B132" s="1">
        <v>2072</v>
      </c>
      <c r="C132" s="1" t="s">
        <v>925</v>
      </c>
      <c r="D132" s="2" t="s">
        <v>926</v>
      </c>
      <c r="E132" s="1" t="s">
        <v>20</v>
      </c>
      <c r="F132" s="1" t="s">
        <v>14</v>
      </c>
      <c r="G132" s="1" t="s">
        <v>765</v>
      </c>
      <c r="H132" s="1" t="s">
        <v>766</v>
      </c>
      <c r="I132" s="1" t="s">
        <v>928</v>
      </c>
      <c r="J132" s="2" t="s">
        <v>929</v>
      </c>
      <c r="K132" s="2" t="s">
        <v>930</v>
      </c>
      <c r="L132" s="2" t="s">
        <v>927</v>
      </c>
      <c r="M132" s="3" t="str">
        <f>VLOOKUP(G132,справочник!$B$1:$C$94,2,0)</f>
        <v>МСК</v>
      </c>
    </row>
    <row r="133" spans="1:13" ht="42" thickBot="1" x14ac:dyDescent="0.35">
      <c r="A133" s="1" t="s">
        <v>55</v>
      </c>
      <c r="B133" s="1">
        <v>7400</v>
      </c>
      <c r="C133" s="1" t="s">
        <v>931</v>
      </c>
      <c r="D133" s="2" t="s">
        <v>57</v>
      </c>
      <c r="E133" s="1" t="s">
        <v>20</v>
      </c>
      <c r="F133" s="1" t="s">
        <v>14</v>
      </c>
      <c r="G133" s="1" t="s">
        <v>15</v>
      </c>
      <c r="H133" s="1"/>
      <c r="I133" s="1"/>
      <c r="J133" s="2" t="s">
        <v>932</v>
      </c>
      <c r="K133" s="2" t="s">
        <v>933</v>
      </c>
      <c r="L133" s="2" t="s">
        <v>58</v>
      </c>
      <c r="M133" s="3" t="str">
        <f>VLOOKUP(G133,справочник!$B$1:$C$94,2,0)</f>
        <v>МСК</v>
      </c>
    </row>
    <row r="134" spans="1:13" ht="42" thickBot="1" x14ac:dyDescent="0.35">
      <c r="A134" s="1" t="s">
        <v>261</v>
      </c>
      <c r="B134" s="1">
        <v>2559</v>
      </c>
      <c r="C134" s="1" t="s">
        <v>934</v>
      </c>
      <c r="D134" s="2" t="s">
        <v>935</v>
      </c>
      <c r="E134" s="1" t="s">
        <v>20</v>
      </c>
      <c r="F134" s="1" t="s">
        <v>14</v>
      </c>
      <c r="G134" s="1" t="s">
        <v>43</v>
      </c>
      <c r="H134" s="1" t="s">
        <v>937</v>
      </c>
      <c r="I134" s="1" t="s">
        <v>938</v>
      </c>
      <c r="J134" s="2" t="s">
        <v>939</v>
      </c>
      <c r="K134" s="2" t="s">
        <v>940</v>
      </c>
      <c r="L134" s="2" t="s">
        <v>936</v>
      </c>
      <c r="M134" s="3" t="str">
        <f>VLOOKUP(G134,справочник!$B$1:$C$94,2,0)</f>
        <v>МСК</v>
      </c>
    </row>
    <row r="135" spans="1:13" ht="55.8" thickBot="1" x14ac:dyDescent="0.35">
      <c r="A135" s="1" t="s">
        <v>12</v>
      </c>
      <c r="B135" s="1">
        <v>3157</v>
      </c>
      <c r="C135" s="1" t="s">
        <v>941</v>
      </c>
      <c r="D135" s="2" t="s">
        <v>942</v>
      </c>
      <c r="E135" s="1" t="s">
        <v>141</v>
      </c>
      <c r="F135" s="1" t="s">
        <v>14</v>
      </c>
      <c r="G135" s="1" t="s">
        <v>15</v>
      </c>
      <c r="H135" s="1" t="s">
        <v>16</v>
      </c>
      <c r="I135" s="1" t="s">
        <v>944</v>
      </c>
      <c r="J135" s="2" t="s">
        <v>945</v>
      </c>
      <c r="K135" s="2" t="s">
        <v>946</v>
      </c>
      <c r="L135" s="2" t="s">
        <v>943</v>
      </c>
      <c r="M135" s="3" t="str">
        <f>VLOOKUP(G135,справочник!$B$1:$C$94,2,0)</f>
        <v>МСК</v>
      </c>
    </row>
    <row r="136" spans="1:13" ht="42" thickBot="1" x14ac:dyDescent="0.35">
      <c r="A136" s="1" t="s">
        <v>146</v>
      </c>
      <c r="B136" s="1">
        <v>1880</v>
      </c>
      <c r="C136" s="1" t="s">
        <v>947</v>
      </c>
      <c r="D136" s="2" t="s">
        <v>948</v>
      </c>
      <c r="E136" s="1" t="s">
        <v>20</v>
      </c>
      <c r="F136" s="1" t="s">
        <v>14</v>
      </c>
      <c r="G136" s="1" t="s">
        <v>15</v>
      </c>
      <c r="H136" s="1" t="s">
        <v>16</v>
      </c>
      <c r="I136" s="1" t="s">
        <v>950</v>
      </c>
      <c r="J136" s="2" t="s">
        <v>951</v>
      </c>
      <c r="K136" s="2" t="s">
        <v>949</v>
      </c>
      <c r="L136" s="2" t="s">
        <v>952</v>
      </c>
      <c r="M136" s="3" t="str">
        <f>VLOOKUP(G136,справочник!$B$1:$C$94,2,0)</f>
        <v>МСК</v>
      </c>
    </row>
    <row r="137" spans="1:13" ht="42" thickBot="1" x14ac:dyDescent="0.35">
      <c r="A137" s="1" t="s">
        <v>146</v>
      </c>
      <c r="B137" s="1">
        <v>2943</v>
      </c>
      <c r="C137" s="1" t="s">
        <v>953</v>
      </c>
      <c r="D137" s="2" t="s">
        <v>954</v>
      </c>
      <c r="E137" s="1" t="s">
        <v>20</v>
      </c>
      <c r="F137" s="1" t="s">
        <v>30</v>
      </c>
      <c r="G137" s="1" t="s">
        <v>31</v>
      </c>
      <c r="H137" s="1" t="s">
        <v>955</v>
      </c>
      <c r="I137" s="1" t="s">
        <v>956</v>
      </c>
      <c r="J137" s="2" t="s">
        <v>957</v>
      </c>
      <c r="K137" s="2" t="s">
        <v>958</v>
      </c>
      <c r="L137" s="2" t="s">
        <v>959</v>
      </c>
      <c r="M137" s="3" t="str">
        <f>VLOOKUP(G137,справочник!$B$1:$C$94,2,0)</f>
        <v>МСК</v>
      </c>
    </row>
    <row r="138" spans="1:13" ht="42" thickBot="1" x14ac:dyDescent="0.35">
      <c r="A138" s="1" t="s">
        <v>146</v>
      </c>
      <c r="B138" s="1">
        <v>2638</v>
      </c>
      <c r="C138" s="1" t="s">
        <v>962</v>
      </c>
      <c r="D138" s="2" t="s">
        <v>963</v>
      </c>
      <c r="E138" s="1" t="s">
        <v>20</v>
      </c>
      <c r="F138" s="1" t="s">
        <v>14</v>
      </c>
      <c r="G138" s="1" t="s">
        <v>208</v>
      </c>
      <c r="H138" s="1" t="s">
        <v>965</v>
      </c>
      <c r="I138" s="1" t="s">
        <v>966</v>
      </c>
      <c r="J138" s="2" t="s">
        <v>967</v>
      </c>
      <c r="K138" s="2" t="s">
        <v>968</v>
      </c>
      <c r="L138" s="2" t="s">
        <v>964</v>
      </c>
      <c r="M138" s="3" t="str">
        <f>VLOOKUP(G138,справочник!$B$1:$C$94,2,0)</f>
        <v>МСК</v>
      </c>
    </row>
    <row r="139" spans="1:13" ht="42" thickBot="1" x14ac:dyDescent="0.35">
      <c r="A139" s="1" t="s">
        <v>146</v>
      </c>
      <c r="B139" s="1">
        <v>1864</v>
      </c>
      <c r="C139" s="1" t="s">
        <v>969</v>
      </c>
      <c r="D139" s="2" t="s">
        <v>970</v>
      </c>
      <c r="E139" s="1" t="s">
        <v>20</v>
      </c>
      <c r="F139" s="1" t="s">
        <v>14</v>
      </c>
      <c r="G139" s="1" t="s">
        <v>15</v>
      </c>
      <c r="H139" s="1" t="s">
        <v>16</v>
      </c>
      <c r="I139" s="1" t="s">
        <v>973</v>
      </c>
      <c r="J139" s="2" t="s">
        <v>974</v>
      </c>
      <c r="K139" s="2" t="s">
        <v>971</v>
      </c>
      <c r="L139" s="2" t="s">
        <v>972</v>
      </c>
      <c r="M139" s="3" t="str">
        <f>VLOOKUP(G139,справочник!$B$1:$C$94,2,0)</f>
        <v>МСК</v>
      </c>
    </row>
    <row r="140" spans="1:13" ht="42" thickBot="1" x14ac:dyDescent="0.35">
      <c r="A140" s="1" t="s">
        <v>975</v>
      </c>
      <c r="B140" s="1">
        <v>3432</v>
      </c>
      <c r="C140" s="1" t="s">
        <v>976</v>
      </c>
      <c r="D140" s="2" t="s">
        <v>977</v>
      </c>
      <c r="E140" s="1" t="s">
        <v>20</v>
      </c>
      <c r="F140" s="1" t="s">
        <v>14</v>
      </c>
      <c r="G140" s="1" t="s">
        <v>43</v>
      </c>
      <c r="H140" s="1" t="s">
        <v>979</v>
      </c>
      <c r="I140" s="1" t="s">
        <v>980</v>
      </c>
      <c r="J140" s="2" t="s">
        <v>974</v>
      </c>
      <c r="K140" s="2" t="s">
        <v>981</v>
      </c>
      <c r="L140" s="2" t="s">
        <v>978</v>
      </c>
      <c r="M140" s="3" t="str">
        <f>VLOOKUP(G140,справочник!$B$1:$C$94,2,0)</f>
        <v>МСК</v>
      </c>
    </row>
    <row r="141" spans="1:13" ht="42" thickBot="1" x14ac:dyDescent="0.35">
      <c r="A141" s="1" t="s">
        <v>76</v>
      </c>
      <c r="B141" s="1">
        <v>3451</v>
      </c>
      <c r="C141" s="1" t="s">
        <v>982</v>
      </c>
      <c r="D141" s="2" t="s">
        <v>983</v>
      </c>
      <c r="E141" s="1" t="s">
        <v>20</v>
      </c>
      <c r="F141" s="1" t="s">
        <v>30</v>
      </c>
      <c r="G141" s="1" t="s">
        <v>31</v>
      </c>
      <c r="H141" s="1" t="s">
        <v>985</v>
      </c>
      <c r="I141" s="1" t="s">
        <v>986</v>
      </c>
      <c r="J141" s="2" t="s">
        <v>987</v>
      </c>
      <c r="K141" s="2" t="s">
        <v>988</v>
      </c>
      <c r="L141" s="2" t="s">
        <v>984</v>
      </c>
      <c r="M141" s="3" t="str">
        <f>VLOOKUP(G141,справочник!$B$1:$C$94,2,0)</f>
        <v>МСК</v>
      </c>
    </row>
    <row r="142" spans="1:13" ht="42" thickBot="1" x14ac:dyDescent="0.35">
      <c r="A142" s="1" t="s">
        <v>146</v>
      </c>
      <c r="B142" s="1">
        <v>1805</v>
      </c>
      <c r="C142" s="1" t="s">
        <v>989</v>
      </c>
      <c r="D142" s="2" t="s">
        <v>990</v>
      </c>
      <c r="E142" s="1" t="s">
        <v>20</v>
      </c>
      <c r="F142" s="1" t="s">
        <v>14</v>
      </c>
      <c r="G142" s="1" t="s">
        <v>15</v>
      </c>
      <c r="H142" s="1" t="s">
        <v>16</v>
      </c>
      <c r="I142" s="1" t="s">
        <v>991</v>
      </c>
      <c r="J142" s="2" t="s">
        <v>992</v>
      </c>
      <c r="K142" s="2" t="s">
        <v>92</v>
      </c>
      <c r="L142" s="2" t="s">
        <v>993</v>
      </c>
      <c r="M142" s="3" t="str">
        <f>VLOOKUP(G142,справочник!$B$1:$C$94,2,0)</f>
        <v>МСК</v>
      </c>
    </row>
    <row r="143" spans="1:13" ht="42" thickBot="1" x14ac:dyDescent="0.35">
      <c r="A143" s="1" t="s">
        <v>76</v>
      </c>
      <c r="B143" s="1">
        <v>3429</v>
      </c>
      <c r="C143" s="1" t="s">
        <v>994</v>
      </c>
      <c r="D143" s="2" t="s">
        <v>995</v>
      </c>
      <c r="E143" s="1" t="s">
        <v>104</v>
      </c>
      <c r="F143" s="1" t="s">
        <v>14</v>
      </c>
      <c r="G143" s="1" t="s">
        <v>15</v>
      </c>
      <c r="H143" s="1" t="s">
        <v>16</v>
      </c>
      <c r="I143" s="1" t="s">
        <v>997</v>
      </c>
      <c r="J143" s="2" t="s">
        <v>998</v>
      </c>
      <c r="K143" s="2" t="s">
        <v>999</v>
      </c>
      <c r="L143" s="2" t="s">
        <v>996</v>
      </c>
      <c r="M143" s="3" t="str">
        <f>VLOOKUP(G143,справочник!$B$1:$C$94,2,0)</f>
        <v>МСК</v>
      </c>
    </row>
    <row r="144" spans="1:13" ht="55.8" thickBot="1" x14ac:dyDescent="0.35">
      <c r="A144" s="1" t="s">
        <v>146</v>
      </c>
      <c r="B144" s="1">
        <v>2296</v>
      </c>
      <c r="C144" s="1" t="s">
        <v>1000</v>
      </c>
      <c r="D144" s="2" t="s">
        <v>1001</v>
      </c>
      <c r="E144" s="1" t="s">
        <v>20</v>
      </c>
      <c r="F144" s="1" t="s">
        <v>222</v>
      </c>
      <c r="G144" s="1" t="s">
        <v>1002</v>
      </c>
      <c r="H144" s="1" t="s">
        <v>1003</v>
      </c>
      <c r="I144" s="1" t="s">
        <v>1004</v>
      </c>
      <c r="J144" s="2" t="s">
        <v>1005</v>
      </c>
      <c r="K144" s="2" t="s">
        <v>1006</v>
      </c>
      <c r="L144" s="2" t="s">
        <v>1007</v>
      </c>
      <c r="M144" s="3" t="str">
        <f>VLOOKUP(G144,справочник!$B$1:$C$94,2,0)</f>
        <v>МСК</v>
      </c>
    </row>
    <row r="145" spans="1:13" ht="42" thickBot="1" x14ac:dyDescent="0.35">
      <c r="A145" s="1" t="s">
        <v>396</v>
      </c>
      <c r="B145" s="1">
        <v>3608</v>
      </c>
      <c r="C145" s="1" t="s">
        <v>1008</v>
      </c>
      <c r="D145" s="2" t="s">
        <v>1009</v>
      </c>
      <c r="E145" s="1" t="s">
        <v>20</v>
      </c>
      <c r="F145" s="1" t="s">
        <v>14</v>
      </c>
      <c r="G145" s="1" t="s">
        <v>15</v>
      </c>
      <c r="H145" s="1" t="s">
        <v>16</v>
      </c>
      <c r="I145" s="1" t="s">
        <v>1010</v>
      </c>
      <c r="J145" s="2" t="s">
        <v>974</v>
      </c>
      <c r="K145" s="2" t="s">
        <v>1011</v>
      </c>
      <c r="L145" s="2" t="s">
        <v>1012</v>
      </c>
      <c r="M145" s="3" t="str">
        <f>VLOOKUP(G145,справочник!$B$1:$C$94,2,0)</f>
        <v>МСК</v>
      </c>
    </row>
    <row r="146" spans="1:13" ht="42" thickBot="1" x14ac:dyDescent="0.35">
      <c r="A146" s="1" t="s">
        <v>146</v>
      </c>
      <c r="B146" s="1">
        <v>2297</v>
      </c>
      <c r="C146" s="1" t="s">
        <v>1013</v>
      </c>
      <c r="D146" s="2" t="s">
        <v>1014</v>
      </c>
      <c r="E146" s="1" t="s">
        <v>20</v>
      </c>
      <c r="F146" s="1" t="s">
        <v>14</v>
      </c>
      <c r="G146" s="1" t="s">
        <v>1015</v>
      </c>
      <c r="H146" s="1" t="s">
        <v>1016</v>
      </c>
      <c r="I146" s="1" t="s">
        <v>1017</v>
      </c>
      <c r="J146" s="2" t="s">
        <v>467</v>
      </c>
      <c r="K146" s="2" t="s">
        <v>1018</v>
      </c>
      <c r="L146" s="2" t="s">
        <v>1019</v>
      </c>
      <c r="M146" s="3" t="str">
        <f>VLOOKUP(G146,справочник!$B$1:$C$94,2,0)</f>
        <v>МСК</v>
      </c>
    </row>
    <row r="147" spans="1:13" ht="42" thickBot="1" x14ac:dyDescent="0.35">
      <c r="A147" s="1" t="s">
        <v>146</v>
      </c>
      <c r="B147" s="1">
        <v>2709</v>
      </c>
      <c r="C147" s="1" t="s">
        <v>1020</v>
      </c>
      <c r="D147" s="2" t="s">
        <v>1021</v>
      </c>
      <c r="E147" s="1" t="s">
        <v>20</v>
      </c>
      <c r="F147" s="1" t="s">
        <v>14</v>
      </c>
      <c r="G147" s="1" t="s">
        <v>15</v>
      </c>
      <c r="H147" s="1" t="s">
        <v>16</v>
      </c>
      <c r="I147" s="1" t="s">
        <v>1022</v>
      </c>
      <c r="J147" s="2" t="s">
        <v>1023</v>
      </c>
      <c r="K147" s="2" t="s">
        <v>1024</v>
      </c>
      <c r="L147" s="2" t="s">
        <v>1025</v>
      </c>
      <c r="M147" s="3" t="str">
        <f>VLOOKUP(G147,справочник!$B$1:$C$94,2,0)</f>
        <v>МСК</v>
      </c>
    </row>
    <row r="148" spans="1:13" ht="42" thickBot="1" x14ac:dyDescent="0.35">
      <c r="A148" s="1" t="s">
        <v>146</v>
      </c>
      <c r="B148" s="1">
        <v>1847</v>
      </c>
      <c r="C148" s="1" t="s">
        <v>1026</v>
      </c>
      <c r="D148" s="2" t="s">
        <v>1027</v>
      </c>
      <c r="E148" s="1" t="s">
        <v>20</v>
      </c>
      <c r="F148" s="1" t="s">
        <v>30</v>
      </c>
      <c r="G148" s="1" t="s">
        <v>31</v>
      </c>
      <c r="H148" s="1" t="s">
        <v>955</v>
      </c>
      <c r="I148" s="1" t="s">
        <v>956</v>
      </c>
      <c r="J148" s="2" t="s">
        <v>1029</v>
      </c>
      <c r="K148" s="2" t="s">
        <v>1030</v>
      </c>
      <c r="L148" s="2" t="s">
        <v>1028</v>
      </c>
      <c r="M148" s="3" t="str">
        <f>VLOOKUP(G148,справочник!$B$1:$C$94,2,0)</f>
        <v>МСК</v>
      </c>
    </row>
    <row r="149" spans="1:13" ht="42" thickBot="1" x14ac:dyDescent="0.35">
      <c r="A149" s="1" t="s">
        <v>76</v>
      </c>
      <c r="B149" s="1">
        <v>3430</v>
      </c>
      <c r="C149" s="1" t="s">
        <v>1031</v>
      </c>
      <c r="D149" s="2" t="s">
        <v>1032</v>
      </c>
      <c r="E149" s="1" t="s">
        <v>141</v>
      </c>
      <c r="F149" s="1" t="s">
        <v>14</v>
      </c>
      <c r="G149" s="1" t="s">
        <v>43</v>
      </c>
      <c r="H149" s="1" t="s">
        <v>1034</v>
      </c>
      <c r="I149" s="1" t="s">
        <v>1035</v>
      </c>
      <c r="J149" s="2" t="s">
        <v>878</v>
      </c>
      <c r="K149" s="2" t="s">
        <v>1036</v>
      </c>
      <c r="L149" s="2" t="s">
        <v>1033</v>
      </c>
      <c r="M149" s="3" t="str">
        <f>VLOOKUP(G149,справочник!$B$1:$C$94,2,0)</f>
        <v>МСК</v>
      </c>
    </row>
    <row r="150" spans="1:13" ht="42" thickBot="1" x14ac:dyDescent="0.35">
      <c r="A150" s="1" t="s">
        <v>146</v>
      </c>
      <c r="B150" s="1">
        <v>2569</v>
      </c>
      <c r="C150" s="1" t="s">
        <v>1037</v>
      </c>
      <c r="D150" s="2" t="s">
        <v>1038</v>
      </c>
      <c r="E150" s="1" t="s">
        <v>20</v>
      </c>
      <c r="F150" s="1" t="s">
        <v>14</v>
      </c>
      <c r="G150" s="1" t="s">
        <v>43</v>
      </c>
      <c r="H150" s="1" t="s">
        <v>1040</v>
      </c>
      <c r="I150" s="1" t="s">
        <v>1041</v>
      </c>
      <c r="J150" s="2" t="s">
        <v>232</v>
      </c>
      <c r="K150" s="2" t="s">
        <v>1042</v>
      </c>
      <c r="L150" s="2" t="s">
        <v>1039</v>
      </c>
      <c r="M150" s="3" t="str">
        <f>VLOOKUP(G150,справочник!$B$1:$C$94,2,0)</f>
        <v>МСК</v>
      </c>
    </row>
    <row r="151" spans="1:13" ht="69.599999999999994" thickBot="1" x14ac:dyDescent="0.35">
      <c r="A151" s="1" t="s">
        <v>33</v>
      </c>
      <c r="B151" s="1">
        <v>3889</v>
      </c>
      <c r="C151" s="1" t="s">
        <v>1044</v>
      </c>
      <c r="D151" s="2" t="s">
        <v>1045</v>
      </c>
      <c r="E151" s="1" t="s">
        <v>104</v>
      </c>
      <c r="F151" s="1" t="s">
        <v>30</v>
      </c>
      <c r="G151" s="1" t="s">
        <v>31</v>
      </c>
      <c r="H151" s="1" t="s">
        <v>32</v>
      </c>
      <c r="I151" s="1" t="s">
        <v>1047</v>
      </c>
      <c r="J151" s="2" t="s">
        <v>1048</v>
      </c>
      <c r="K151" s="2" t="s">
        <v>1049</v>
      </c>
      <c r="L151" s="2" t="s">
        <v>1046</v>
      </c>
      <c r="M151" s="3" t="str">
        <f>VLOOKUP(G151,справочник!$B$1:$C$94,2,0)</f>
        <v>МСК</v>
      </c>
    </row>
    <row r="152" spans="1:13" ht="42" thickBot="1" x14ac:dyDescent="0.35">
      <c r="A152" s="1" t="s">
        <v>350</v>
      </c>
      <c r="B152" s="1">
        <v>3615</v>
      </c>
      <c r="C152" s="1" t="s">
        <v>1050</v>
      </c>
      <c r="D152" s="2" t="s">
        <v>1051</v>
      </c>
      <c r="E152" s="1" t="s">
        <v>773</v>
      </c>
      <c r="F152" s="1" t="s">
        <v>109</v>
      </c>
      <c r="G152" s="1" t="s">
        <v>1052</v>
      </c>
      <c r="H152" s="1" t="s">
        <v>1054</v>
      </c>
      <c r="I152" s="1" t="s">
        <v>1055</v>
      </c>
      <c r="J152" s="2" t="s">
        <v>1029</v>
      </c>
      <c r="K152" s="2" t="s">
        <v>1056</v>
      </c>
      <c r="L152" s="2" t="s">
        <v>1053</v>
      </c>
      <c r="M152" s="3" t="str">
        <f>VLOOKUP(G152,справочник!$B$1:$C$94,2,0)</f>
        <v>МСК</v>
      </c>
    </row>
    <row r="153" spans="1:13" ht="55.8" thickBot="1" x14ac:dyDescent="0.35">
      <c r="A153" s="1" t="s">
        <v>1057</v>
      </c>
      <c r="B153" s="1">
        <v>3786</v>
      </c>
      <c r="C153" s="1" t="s">
        <v>1058</v>
      </c>
      <c r="D153" s="2" t="s">
        <v>1059</v>
      </c>
      <c r="E153" s="1" t="s">
        <v>86</v>
      </c>
      <c r="F153" s="1" t="s">
        <v>14</v>
      </c>
      <c r="G153" s="1" t="s">
        <v>15</v>
      </c>
      <c r="H153" s="1" t="s">
        <v>16</v>
      </c>
      <c r="I153" s="1" t="s">
        <v>1061</v>
      </c>
      <c r="J153" s="2" t="s">
        <v>1062</v>
      </c>
      <c r="K153" s="2" t="s">
        <v>1063</v>
      </c>
      <c r="L153" s="2" t="s">
        <v>1060</v>
      </c>
      <c r="M153" s="3" t="str">
        <f>VLOOKUP(G153,справочник!$B$1:$C$94,2,0)</f>
        <v>МСК</v>
      </c>
    </row>
    <row r="154" spans="1:13" ht="28.2" thickBot="1" x14ac:dyDescent="0.35">
      <c r="A154" s="1" t="s">
        <v>54</v>
      </c>
      <c r="B154" s="1">
        <v>3327</v>
      </c>
      <c r="C154" s="1" t="s">
        <v>1064</v>
      </c>
      <c r="D154" s="2" t="s">
        <v>1065</v>
      </c>
      <c r="E154" s="1" t="s">
        <v>29</v>
      </c>
      <c r="F154" s="1" t="s">
        <v>114</v>
      </c>
      <c r="G154" s="1" t="s">
        <v>338</v>
      </c>
      <c r="H154" s="1" t="s">
        <v>339</v>
      </c>
      <c r="I154" s="1" t="s">
        <v>1066</v>
      </c>
      <c r="J154" s="2" t="s">
        <v>1067</v>
      </c>
      <c r="K154" s="2" t="s">
        <v>1068</v>
      </c>
      <c r="L154" s="2" t="s">
        <v>1069</v>
      </c>
      <c r="M154" s="3" t="str">
        <f>VLOOKUP(G154,справочник!$B$1:$C$94,2,0)</f>
        <v>МСК+6</v>
      </c>
    </row>
    <row r="155" spans="1:13" ht="28.2" thickBot="1" x14ac:dyDescent="0.35">
      <c r="A155" s="1" t="s">
        <v>12</v>
      </c>
      <c r="B155" s="1">
        <v>3384</v>
      </c>
      <c r="C155" s="1" t="s">
        <v>1070</v>
      </c>
      <c r="D155" s="2" t="s">
        <v>1071</v>
      </c>
      <c r="E155" s="1" t="s">
        <v>29</v>
      </c>
      <c r="F155" s="1" t="s">
        <v>14</v>
      </c>
      <c r="G155" s="1" t="s">
        <v>665</v>
      </c>
      <c r="H155" s="1" t="s">
        <v>666</v>
      </c>
      <c r="I155" s="1" t="s">
        <v>1072</v>
      </c>
      <c r="J155" s="2" t="s">
        <v>1073</v>
      </c>
      <c r="K155" s="2" t="s">
        <v>1074</v>
      </c>
      <c r="L155" s="2" t="s">
        <v>1075</v>
      </c>
      <c r="M155" s="3" t="str">
        <f>VLOOKUP(G155,справочник!$B$1:$C$94,2,0)</f>
        <v>МСК</v>
      </c>
    </row>
    <row r="156" spans="1:13" ht="42" thickBot="1" x14ac:dyDescent="0.35">
      <c r="A156" s="1" t="s">
        <v>12</v>
      </c>
      <c r="B156" s="1">
        <v>3144</v>
      </c>
      <c r="C156" s="1" t="s">
        <v>1076</v>
      </c>
      <c r="D156" s="2" t="s">
        <v>1077</v>
      </c>
      <c r="E156" s="1" t="s">
        <v>29</v>
      </c>
      <c r="F156" s="1" t="s">
        <v>14</v>
      </c>
      <c r="G156" s="1" t="s">
        <v>15</v>
      </c>
      <c r="H156" s="1" t="s">
        <v>16</v>
      </c>
      <c r="I156" s="1" t="s">
        <v>1078</v>
      </c>
      <c r="J156" s="2" t="s">
        <v>1079</v>
      </c>
      <c r="K156" s="2" t="s">
        <v>1080</v>
      </c>
      <c r="L156" s="2" t="s">
        <v>1081</v>
      </c>
      <c r="M156" s="3" t="str">
        <f>VLOOKUP(G156,справочник!$B$1:$C$94,2,0)</f>
        <v>МСК</v>
      </c>
    </row>
    <row r="157" spans="1:13" ht="28.2" thickBot="1" x14ac:dyDescent="0.35">
      <c r="A157" s="1" t="s">
        <v>12</v>
      </c>
      <c r="B157" s="1">
        <v>3342</v>
      </c>
      <c r="C157" s="1" t="s">
        <v>1082</v>
      </c>
      <c r="D157" s="2" t="s">
        <v>1083</v>
      </c>
      <c r="E157" s="1" t="s">
        <v>29</v>
      </c>
      <c r="F157" s="1" t="s">
        <v>14</v>
      </c>
      <c r="G157" s="1" t="s">
        <v>15</v>
      </c>
      <c r="H157" s="1" t="s">
        <v>16</v>
      </c>
      <c r="I157" s="1" t="s">
        <v>1084</v>
      </c>
      <c r="J157" s="2" t="s">
        <v>1085</v>
      </c>
      <c r="K157" s="2" t="s">
        <v>1086</v>
      </c>
      <c r="L157" s="2" t="s">
        <v>1087</v>
      </c>
      <c r="M157" s="3" t="str">
        <f>VLOOKUP(G157,справочник!$B$1:$C$94,2,0)</f>
        <v>МСК</v>
      </c>
    </row>
    <row r="158" spans="1:13" ht="42" thickBot="1" x14ac:dyDescent="0.35">
      <c r="A158" s="1" t="s">
        <v>177</v>
      </c>
      <c r="B158" s="1">
        <v>747</v>
      </c>
      <c r="C158" s="1" t="s">
        <v>1088</v>
      </c>
      <c r="D158" s="2" t="s">
        <v>1089</v>
      </c>
      <c r="E158" s="1" t="s">
        <v>29</v>
      </c>
      <c r="F158" s="1" t="s">
        <v>14</v>
      </c>
      <c r="G158" s="1" t="s">
        <v>15</v>
      </c>
      <c r="H158" s="1" t="s">
        <v>16</v>
      </c>
      <c r="I158" s="1" t="s">
        <v>1090</v>
      </c>
      <c r="J158" s="2" t="s">
        <v>381</v>
      </c>
      <c r="K158" s="2" t="s">
        <v>1091</v>
      </c>
      <c r="L158" s="2" t="s">
        <v>1092</v>
      </c>
      <c r="M158" s="3" t="str">
        <f>VLOOKUP(G158,справочник!$B$1:$C$94,2,0)</f>
        <v>МСК</v>
      </c>
    </row>
    <row r="159" spans="1:13" ht="28.2" thickBot="1" x14ac:dyDescent="0.35">
      <c r="A159" s="1" t="s">
        <v>12</v>
      </c>
      <c r="B159" s="1">
        <v>3158</v>
      </c>
      <c r="C159" s="1" t="s">
        <v>1093</v>
      </c>
      <c r="D159" s="2" t="s">
        <v>1094</v>
      </c>
      <c r="E159" s="1" t="s">
        <v>29</v>
      </c>
      <c r="F159" s="1" t="s">
        <v>30</v>
      </c>
      <c r="G159" s="1" t="s">
        <v>31</v>
      </c>
      <c r="H159" s="1" t="s">
        <v>32</v>
      </c>
      <c r="I159" s="1" t="s">
        <v>1095</v>
      </c>
      <c r="J159" s="2" t="s">
        <v>1096</v>
      </c>
      <c r="K159" s="2" t="s">
        <v>1097</v>
      </c>
      <c r="L159" s="2" t="s">
        <v>1098</v>
      </c>
      <c r="M159" s="3" t="str">
        <f>VLOOKUP(G159,справочник!$B$1:$C$94,2,0)</f>
        <v>МСК</v>
      </c>
    </row>
    <row r="160" spans="1:13" ht="42" thickBot="1" x14ac:dyDescent="0.35">
      <c r="A160" s="1" t="s">
        <v>261</v>
      </c>
      <c r="B160" s="1">
        <v>578</v>
      </c>
      <c r="C160" s="1" t="s">
        <v>1099</v>
      </c>
      <c r="D160" s="2" t="s">
        <v>1100</v>
      </c>
      <c r="E160" s="1" t="s">
        <v>29</v>
      </c>
      <c r="F160" s="1" t="s">
        <v>222</v>
      </c>
      <c r="G160" s="1" t="s">
        <v>1002</v>
      </c>
      <c r="H160" s="1" t="s">
        <v>1003</v>
      </c>
      <c r="I160" s="1" t="s">
        <v>1102</v>
      </c>
      <c r="J160" s="2" t="s">
        <v>1103</v>
      </c>
      <c r="K160" s="2" t="s">
        <v>1104</v>
      </c>
      <c r="L160" s="2" t="s">
        <v>1101</v>
      </c>
      <c r="M160" s="3" t="str">
        <f>VLOOKUP(G160,справочник!$B$1:$C$94,2,0)</f>
        <v>МСК</v>
      </c>
    </row>
    <row r="161" spans="1:13" ht="42" thickBot="1" x14ac:dyDescent="0.35">
      <c r="A161" s="1" t="s">
        <v>146</v>
      </c>
      <c r="B161" s="1">
        <v>39</v>
      </c>
      <c r="C161" s="1" t="s">
        <v>1105</v>
      </c>
      <c r="D161" s="2" t="s">
        <v>1106</v>
      </c>
      <c r="E161" s="1" t="s">
        <v>29</v>
      </c>
      <c r="F161" s="1" t="s">
        <v>222</v>
      </c>
      <c r="G161" s="1" t="s">
        <v>1002</v>
      </c>
      <c r="H161" s="1" t="s">
        <v>1003</v>
      </c>
      <c r="I161" s="1" t="s">
        <v>1108</v>
      </c>
      <c r="J161" s="2" t="s">
        <v>1109</v>
      </c>
      <c r="K161" s="2" t="s">
        <v>1110</v>
      </c>
      <c r="L161" s="2" t="s">
        <v>1107</v>
      </c>
      <c r="M161" s="3" t="str">
        <f>VLOOKUP(G161,справочник!$B$1:$C$94,2,0)</f>
        <v>МСК</v>
      </c>
    </row>
    <row r="162" spans="1:13" ht="42" thickBot="1" x14ac:dyDescent="0.35">
      <c r="A162" s="1" t="s">
        <v>54</v>
      </c>
      <c r="B162" s="1">
        <v>3301</v>
      </c>
      <c r="C162" s="1" t="s">
        <v>1111</v>
      </c>
      <c r="D162" s="2" t="s">
        <v>1112</v>
      </c>
      <c r="E162" s="1" t="s">
        <v>29</v>
      </c>
      <c r="F162" s="1" t="s">
        <v>30</v>
      </c>
      <c r="G162" s="1" t="s">
        <v>95</v>
      </c>
      <c r="H162" s="1" t="s">
        <v>96</v>
      </c>
      <c r="I162" s="1" t="s">
        <v>1115</v>
      </c>
      <c r="J162" s="2" t="s">
        <v>1116</v>
      </c>
      <c r="K162" s="2" t="s">
        <v>1113</v>
      </c>
      <c r="L162" s="2" t="s">
        <v>1114</v>
      </c>
      <c r="M162" s="3" t="str">
        <f>VLOOKUP(G162,справочник!$B$1:$C$94,2,0)</f>
        <v>МСК</v>
      </c>
    </row>
    <row r="163" spans="1:13" ht="42" thickBot="1" x14ac:dyDescent="0.35">
      <c r="A163" s="1" t="s">
        <v>146</v>
      </c>
      <c r="B163" s="1">
        <v>1975</v>
      </c>
      <c r="C163" s="1" t="s">
        <v>1117</v>
      </c>
      <c r="D163" s="2" t="s">
        <v>1118</v>
      </c>
      <c r="E163" s="1" t="s">
        <v>20</v>
      </c>
      <c r="F163" s="1" t="s">
        <v>114</v>
      </c>
      <c r="G163" s="1" t="s">
        <v>418</v>
      </c>
      <c r="H163" s="1" t="s">
        <v>1120</v>
      </c>
      <c r="I163" s="1" t="s">
        <v>1121</v>
      </c>
      <c r="J163" s="2" t="s">
        <v>1122</v>
      </c>
      <c r="K163" s="2" t="s">
        <v>1123</v>
      </c>
      <c r="L163" s="2" t="s">
        <v>1119</v>
      </c>
      <c r="M163" s="3" t="str">
        <f>VLOOKUP(G163,справочник!$B$1:$C$94,2,0)</f>
        <v>МСК+5</v>
      </c>
    </row>
    <row r="164" spans="1:13" ht="42" thickBot="1" x14ac:dyDescent="0.35">
      <c r="A164" s="1" t="s">
        <v>146</v>
      </c>
      <c r="B164" s="1">
        <v>1804</v>
      </c>
      <c r="C164" s="1" t="s">
        <v>1124</v>
      </c>
      <c r="D164" s="2" t="s">
        <v>1125</v>
      </c>
      <c r="E164" s="1" t="s">
        <v>20</v>
      </c>
      <c r="F164" s="1" t="s">
        <v>14</v>
      </c>
      <c r="G164" s="1" t="s">
        <v>15</v>
      </c>
      <c r="H164" s="1" t="s">
        <v>16</v>
      </c>
      <c r="I164" s="1" t="s">
        <v>1128</v>
      </c>
      <c r="J164" s="2" t="s">
        <v>1129</v>
      </c>
      <c r="K164" s="2" t="s">
        <v>1126</v>
      </c>
      <c r="L164" s="2" t="s">
        <v>1127</v>
      </c>
      <c r="M164" s="3" t="str">
        <f>VLOOKUP(G164,справочник!$B$1:$C$94,2,0)</f>
        <v>МСК</v>
      </c>
    </row>
    <row r="165" spans="1:13" ht="42" thickBot="1" x14ac:dyDescent="0.35">
      <c r="A165" s="1" t="s">
        <v>146</v>
      </c>
      <c r="B165" s="1">
        <v>2097</v>
      </c>
      <c r="C165" s="1" t="s">
        <v>1130</v>
      </c>
      <c r="D165" s="2" t="s">
        <v>1131</v>
      </c>
      <c r="E165" s="1" t="s">
        <v>20</v>
      </c>
      <c r="F165" s="1" t="s">
        <v>14</v>
      </c>
      <c r="G165" s="1" t="s">
        <v>15</v>
      </c>
      <c r="H165" s="1" t="s">
        <v>16</v>
      </c>
      <c r="I165" s="1" t="s">
        <v>1132</v>
      </c>
      <c r="J165" s="2" t="s">
        <v>92</v>
      </c>
      <c r="K165" s="2" t="s">
        <v>92</v>
      </c>
      <c r="L165" s="2" t="s">
        <v>92</v>
      </c>
      <c r="M165" s="3" t="str">
        <f>VLOOKUP(G165,справочник!$B$1:$C$94,2,0)</f>
        <v>МСК</v>
      </c>
    </row>
    <row r="166" spans="1:13" ht="42" thickBot="1" x14ac:dyDescent="0.35">
      <c r="A166" s="1" t="s">
        <v>146</v>
      </c>
      <c r="B166" s="1">
        <v>40</v>
      </c>
      <c r="C166" s="1" t="s">
        <v>1133</v>
      </c>
      <c r="D166" s="2" t="s">
        <v>1134</v>
      </c>
      <c r="E166" s="1" t="s">
        <v>29</v>
      </c>
      <c r="F166" s="1" t="s">
        <v>14</v>
      </c>
      <c r="G166" s="1" t="s">
        <v>43</v>
      </c>
      <c r="H166" s="1" t="s">
        <v>1135</v>
      </c>
      <c r="I166" s="1" t="s">
        <v>1136</v>
      </c>
      <c r="J166" s="2" t="s">
        <v>1137</v>
      </c>
      <c r="K166" s="2" t="s">
        <v>1138</v>
      </c>
      <c r="L166" s="2" t="s">
        <v>1139</v>
      </c>
      <c r="M166" s="3" t="str">
        <f>VLOOKUP(G166,справочник!$B$1:$C$94,2,0)</f>
        <v>МСК</v>
      </c>
    </row>
    <row r="167" spans="1:13" ht="42" thickBot="1" x14ac:dyDescent="0.35">
      <c r="A167" s="1" t="s">
        <v>146</v>
      </c>
      <c r="B167" s="1">
        <v>2073</v>
      </c>
      <c r="C167" s="1" t="s">
        <v>1140</v>
      </c>
      <c r="D167" s="2" t="s">
        <v>1141</v>
      </c>
      <c r="E167" s="1" t="s">
        <v>20</v>
      </c>
      <c r="F167" s="1" t="s">
        <v>30</v>
      </c>
      <c r="G167" s="1" t="s">
        <v>31</v>
      </c>
      <c r="H167" s="1" t="s">
        <v>32</v>
      </c>
      <c r="I167" s="1" t="s">
        <v>1142</v>
      </c>
      <c r="J167" s="2" t="s">
        <v>1143</v>
      </c>
      <c r="K167" s="2" t="s">
        <v>1144</v>
      </c>
      <c r="L167" s="2" t="s">
        <v>1145</v>
      </c>
      <c r="M167" s="3" t="str">
        <f>VLOOKUP(G167,справочник!$B$1:$C$94,2,0)</f>
        <v>МСК</v>
      </c>
    </row>
    <row r="168" spans="1:13" ht="42" thickBot="1" x14ac:dyDescent="0.35">
      <c r="A168" s="1" t="s">
        <v>350</v>
      </c>
      <c r="B168" s="1">
        <v>3454</v>
      </c>
      <c r="C168" s="1" t="s">
        <v>1146</v>
      </c>
      <c r="D168" s="2" t="s">
        <v>1147</v>
      </c>
      <c r="E168" s="1" t="s">
        <v>20</v>
      </c>
      <c r="F168" s="1" t="s">
        <v>30</v>
      </c>
      <c r="G168" s="1" t="s">
        <v>31</v>
      </c>
      <c r="H168" s="1" t="s">
        <v>32</v>
      </c>
      <c r="I168" s="1" t="s">
        <v>1148</v>
      </c>
      <c r="J168" s="2" t="s">
        <v>1149</v>
      </c>
      <c r="K168" s="2" t="s">
        <v>1150</v>
      </c>
      <c r="L168" s="2" t="s">
        <v>1151</v>
      </c>
      <c r="M168" s="3" t="str">
        <f>VLOOKUP(G168,справочник!$B$1:$C$94,2,0)</f>
        <v>МСК</v>
      </c>
    </row>
    <row r="169" spans="1:13" ht="42" thickBot="1" x14ac:dyDescent="0.35">
      <c r="A169" s="1" t="s">
        <v>146</v>
      </c>
      <c r="B169" s="1">
        <v>2424</v>
      </c>
      <c r="C169" s="1" t="s">
        <v>1152</v>
      </c>
      <c r="D169" s="2" t="s">
        <v>1153</v>
      </c>
      <c r="E169" s="1" t="s">
        <v>20</v>
      </c>
      <c r="F169" s="1" t="s">
        <v>14</v>
      </c>
      <c r="G169" s="1" t="s">
        <v>15</v>
      </c>
      <c r="H169" s="1" t="s">
        <v>16</v>
      </c>
      <c r="I169" s="1" t="s">
        <v>1155</v>
      </c>
      <c r="J169" s="2" t="s">
        <v>1156</v>
      </c>
      <c r="K169" s="2" t="s">
        <v>1157</v>
      </c>
      <c r="L169" s="2" t="s">
        <v>1154</v>
      </c>
      <c r="M169" s="3" t="str">
        <f>VLOOKUP(G169,справочник!$B$1:$C$94,2,0)</f>
        <v>МСК</v>
      </c>
    </row>
    <row r="170" spans="1:13" ht="42" thickBot="1" x14ac:dyDescent="0.35">
      <c r="A170" s="1" t="s">
        <v>168</v>
      </c>
      <c r="B170" s="1">
        <v>41</v>
      </c>
      <c r="C170" s="1" t="s">
        <v>1158</v>
      </c>
      <c r="D170" s="2" t="s">
        <v>1159</v>
      </c>
      <c r="E170" s="1" t="s">
        <v>29</v>
      </c>
      <c r="F170" s="1" t="s">
        <v>222</v>
      </c>
      <c r="G170" s="1" t="s">
        <v>1160</v>
      </c>
      <c r="H170" s="1" t="s">
        <v>1161</v>
      </c>
      <c r="I170" s="1" t="s">
        <v>1162</v>
      </c>
      <c r="J170" s="2" t="s">
        <v>1163</v>
      </c>
      <c r="K170" s="2" t="s">
        <v>1164</v>
      </c>
      <c r="L170" s="2" t="s">
        <v>1165</v>
      </c>
      <c r="M170" s="3" t="str">
        <f>VLOOKUP(G170,справочник!$B$1:$C$94,2,0)</f>
        <v>МСК+1</v>
      </c>
    </row>
    <row r="171" spans="1:13" ht="42" thickBot="1" x14ac:dyDescent="0.35">
      <c r="A171" s="1" t="s">
        <v>146</v>
      </c>
      <c r="B171" s="1">
        <v>42</v>
      </c>
      <c r="C171" s="1" t="s">
        <v>1166</v>
      </c>
      <c r="D171" s="2" t="s">
        <v>1167</v>
      </c>
      <c r="E171" s="1" t="s">
        <v>29</v>
      </c>
      <c r="F171" s="1" t="s">
        <v>36</v>
      </c>
      <c r="G171" s="1" t="s">
        <v>1168</v>
      </c>
      <c r="H171" s="1" t="s">
        <v>1170</v>
      </c>
      <c r="I171" s="1" t="s">
        <v>1171</v>
      </c>
      <c r="J171" s="2" t="s">
        <v>1172</v>
      </c>
      <c r="K171" s="2" t="s">
        <v>1173</v>
      </c>
      <c r="L171" s="2" t="s">
        <v>1169</v>
      </c>
      <c r="M171" s="3" t="str">
        <f>VLOOKUP(G171,справочник!$B$1:$C$94,2,0)</f>
        <v>МСК+4</v>
      </c>
    </row>
    <row r="172" spans="1:13" ht="42" thickBot="1" x14ac:dyDescent="0.35">
      <c r="A172" s="1" t="s">
        <v>261</v>
      </c>
      <c r="B172" s="1">
        <v>782</v>
      </c>
      <c r="C172" s="1" t="s">
        <v>1174</v>
      </c>
      <c r="D172" s="2" t="s">
        <v>1175</v>
      </c>
      <c r="E172" s="1" t="s">
        <v>29</v>
      </c>
      <c r="F172" s="1" t="s">
        <v>109</v>
      </c>
      <c r="G172" s="1" t="s">
        <v>646</v>
      </c>
      <c r="H172" s="1" t="s">
        <v>647</v>
      </c>
      <c r="I172" s="1" t="s">
        <v>1176</v>
      </c>
      <c r="J172" s="2" t="s">
        <v>232</v>
      </c>
      <c r="K172" s="2" t="s">
        <v>1177</v>
      </c>
      <c r="L172" s="2" t="s">
        <v>1178</v>
      </c>
      <c r="M172" s="3" t="str">
        <f>VLOOKUP(G172,справочник!$B$1:$C$94,2,0)</f>
        <v>МСК</v>
      </c>
    </row>
    <row r="173" spans="1:13" ht="42" thickBot="1" x14ac:dyDescent="0.35">
      <c r="A173" s="1" t="s">
        <v>146</v>
      </c>
      <c r="B173" s="1">
        <v>2151</v>
      </c>
      <c r="C173" s="1" t="s">
        <v>1179</v>
      </c>
      <c r="D173" s="2" t="s">
        <v>1180</v>
      </c>
      <c r="E173" s="1" t="s">
        <v>20</v>
      </c>
      <c r="F173" s="1" t="s">
        <v>36</v>
      </c>
      <c r="G173" s="1" t="s">
        <v>1181</v>
      </c>
      <c r="H173" s="1" t="s">
        <v>1184</v>
      </c>
      <c r="I173" s="1" t="s">
        <v>1185</v>
      </c>
      <c r="J173" s="2" t="s">
        <v>1186</v>
      </c>
      <c r="K173" s="2" t="s">
        <v>1182</v>
      </c>
      <c r="L173" s="2" t="s">
        <v>1183</v>
      </c>
      <c r="M173" s="3" t="str">
        <f>VLOOKUP(G173,справочник!$B$1:$C$94,2,0)</f>
        <v>МСК+4</v>
      </c>
    </row>
    <row r="174" spans="1:13" ht="42" thickBot="1" x14ac:dyDescent="0.35">
      <c r="A174" s="1" t="s">
        <v>146</v>
      </c>
      <c r="B174" s="1">
        <v>46</v>
      </c>
      <c r="C174" s="1" t="s">
        <v>1187</v>
      </c>
      <c r="D174" s="2" t="s">
        <v>1188</v>
      </c>
      <c r="E174" s="1" t="s">
        <v>29</v>
      </c>
      <c r="F174" s="1" t="s">
        <v>14</v>
      </c>
      <c r="G174" s="1" t="s">
        <v>15</v>
      </c>
      <c r="H174" s="1" t="s">
        <v>16</v>
      </c>
      <c r="I174" s="1" t="s">
        <v>1189</v>
      </c>
      <c r="J174" s="2" t="s">
        <v>1190</v>
      </c>
      <c r="K174" s="2" t="s">
        <v>1191</v>
      </c>
      <c r="L174" s="2" t="s">
        <v>1192</v>
      </c>
      <c r="M174" s="3" t="str">
        <f>VLOOKUP(G174,справочник!$B$1:$C$94,2,0)</f>
        <v>МСК</v>
      </c>
    </row>
    <row r="175" spans="1:13" ht="42" thickBot="1" x14ac:dyDescent="0.35">
      <c r="A175" s="1" t="s">
        <v>350</v>
      </c>
      <c r="B175" s="1">
        <v>3618</v>
      </c>
      <c r="C175" s="1" t="s">
        <v>1194</v>
      </c>
      <c r="D175" s="2" t="s">
        <v>1195</v>
      </c>
      <c r="E175" s="1" t="s">
        <v>20</v>
      </c>
      <c r="F175" s="1" t="s">
        <v>30</v>
      </c>
      <c r="G175" s="1" t="s">
        <v>31</v>
      </c>
      <c r="H175" s="1" t="s">
        <v>32</v>
      </c>
      <c r="I175" s="1" t="s">
        <v>1196</v>
      </c>
      <c r="J175" s="2" t="s">
        <v>1197</v>
      </c>
      <c r="K175" s="2" t="s">
        <v>1198</v>
      </c>
      <c r="L175" s="2" t="s">
        <v>1199</v>
      </c>
      <c r="M175" s="3" t="str">
        <f>VLOOKUP(G175,справочник!$B$1:$C$94,2,0)</f>
        <v>МСК</v>
      </c>
    </row>
    <row r="176" spans="1:13" ht="42" thickBot="1" x14ac:dyDescent="0.35">
      <c r="A176" s="1" t="s">
        <v>54</v>
      </c>
      <c r="B176" s="1">
        <v>3337</v>
      </c>
      <c r="C176" s="1" t="s">
        <v>1200</v>
      </c>
      <c r="D176" s="2" t="s">
        <v>1201</v>
      </c>
      <c r="E176" s="1" t="s">
        <v>29</v>
      </c>
      <c r="F176" s="1" t="s">
        <v>14</v>
      </c>
      <c r="G176" s="1" t="s">
        <v>43</v>
      </c>
      <c r="H176" s="1" t="s">
        <v>1202</v>
      </c>
      <c r="I176" s="1" t="s">
        <v>1203</v>
      </c>
      <c r="J176" s="2" t="s">
        <v>1204</v>
      </c>
      <c r="K176" s="2" t="s">
        <v>1205</v>
      </c>
      <c r="L176" s="2" t="s">
        <v>1206</v>
      </c>
      <c r="M176" s="3" t="str">
        <f>VLOOKUP(G176,справочник!$B$1:$C$94,2,0)</f>
        <v>МСК</v>
      </c>
    </row>
    <row r="177" spans="1:13" ht="42" thickBot="1" x14ac:dyDescent="0.35">
      <c r="A177" s="1" t="s">
        <v>177</v>
      </c>
      <c r="B177" s="1">
        <v>3480</v>
      </c>
      <c r="C177" s="1" t="s">
        <v>1207</v>
      </c>
      <c r="D177" s="2" t="s">
        <v>1208</v>
      </c>
      <c r="E177" s="1" t="s">
        <v>104</v>
      </c>
      <c r="F177" s="1" t="s">
        <v>14</v>
      </c>
      <c r="G177" s="1" t="s">
        <v>15</v>
      </c>
      <c r="H177" s="1" t="s">
        <v>375</v>
      </c>
      <c r="I177" s="1" t="s">
        <v>1210</v>
      </c>
      <c r="J177" s="2" t="s">
        <v>1211</v>
      </c>
      <c r="K177" s="2" t="s">
        <v>1212</v>
      </c>
      <c r="L177" s="2" t="s">
        <v>1209</v>
      </c>
      <c r="M177" s="3" t="str">
        <f>VLOOKUP(G177,справочник!$B$1:$C$94,2,0)</f>
        <v>МСК</v>
      </c>
    </row>
    <row r="178" spans="1:13" ht="42" thickBot="1" x14ac:dyDescent="0.35">
      <c r="A178" s="1" t="s">
        <v>146</v>
      </c>
      <c r="B178" s="1">
        <v>47</v>
      </c>
      <c r="C178" s="1" t="s">
        <v>1213</v>
      </c>
      <c r="D178" s="2" t="s">
        <v>1214</v>
      </c>
      <c r="E178" s="1" t="s">
        <v>29</v>
      </c>
      <c r="F178" s="1" t="s">
        <v>14</v>
      </c>
      <c r="G178" s="1" t="s">
        <v>15</v>
      </c>
      <c r="H178" s="1" t="s">
        <v>16</v>
      </c>
      <c r="I178" s="1" t="s">
        <v>1215</v>
      </c>
      <c r="J178" s="2" t="s">
        <v>1216</v>
      </c>
      <c r="K178" s="2" t="s">
        <v>1217</v>
      </c>
      <c r="L178" s="2" t="s">
        <v>1218</v>
      </c>
      <c r="M178" s="3" t="str">
        <f>VLOOKUP(G178,справочник!$B$1:$C$94,2,0)</f>
        <v>МСК</v>
      </c>
    </row>
    <row r="179" spans="1:13" ht="28.2" thickBot="1" x14ac:dyDescent="0.35">
      <c r="A179" s="1" t="s">
        <v>724</v>
      </c>
      <c r="B179" s="1">
        <v>1370</v>
      </c>
      <c r="C179" s="1" t="s">
        <v>1219</v>
      </c>
      <c r="D179" s="2" t="s">
        <v>1220</v>
      </c>
      <c r="E179" s="1" t="s">
        <v>29</v>
      </c>
      <c r="F179" s="1" t="s">
        <v>21</v>
      </c>
      <c r="G179" s="1" t="s">
        <v>199</v>
      </c>
      <c r="H179" s="1" t="s">
        <v>1222</v>
      </c>
      <c r="I179" s="1" t="s">
        <v>1223</v>
      </c>
      <c r="J179" s="2" t="s">
        <v>1224</v>
      </c>
      <c r="K179" s="2" t="s">
        <v>1225</v>
      </c>
      <c r="L179" s="2" t="s">
        <v>1221</v>
      </c>
      <c r="M179" s="3" t="str">
        <f>VLOOKUP(G179,справочник!$B$1:$C$94,2,0)</f>
        <v>МСК</v>
      </c>
    </row>
    <row r="180" spans="1:13" ht="42" thickBot="1" x14ac:dyDescent="0.35">
      <c r="A180" s="1" t="s">
        <v>177</v>
      </c>
      <c r="B180" s="1">
        <v>748</v>
      </c>
      <c r="C180" s="1" t="s">
        <v>1226</v>
      </c>
      <c r="D180" s="2" t="s">
        <v>1227</v>
      </c>
      <c r="E180" s="1" t="s">
        <v>29</v>
      </c>
      <c r="F180" s="1" t="s">
        <v>14</v>
      </c>
      <c r="G180" s="1" t="s">
        <v>15</v>
      </c>
      <c r="H180" s="1" t="s">
        <v>16</v>
      </c>
      <c r="I180" s="1" t="s">
        <v>1228</v>
      </c>
      <c r="J180" s="2" t="s">
        <v>1229</v>
      </c>
      <c r="K180" s="2" t="s">
        <v>1230</v>
      </c>
      <c r="L180" s="2" t="s">
        <v>1231</v>
      </c>
      <c r="M180" s="3" t="str">
        <f>VLOOKUP(G180,справочник!$B$1:$C$94,2,0)</f>
        <v>МСК</v>
      </c>
    </row>
    <row r="181" spans="1:13" ht="42" thickBot="1" x14ac:dyDescent="0.35">
      <c r="A181" s="1" t="s">
        <v>138</v>
      </c>
      <c r="B181" s="1">
        <v>7608</v>
      </c>
      <c r="C181" s="1" t="s">
        <v>1232</v>
      </c>
      <c r="D181" s="2" t="s">
        <v>1233</v>
      </c>
      <c r="E181" s="1" t="s">
        <v>104</v>
      </c>
      <c r="F181" s="1" t="s">
        <v>14</v>
      </c>
      <c r="G181" s="1" t="s">
        <v>15</v>
      </c>
      <c r="H181" s="1" t="s">
        <v>16</v>
      </c>
      <c r="I181" s="1" t="s">
        <v>1236</v>
      </c>
      <c r="J181" s="2" t="s">
        <v>974</v>
      </c>
      <c r="K181" s="2" t="s">
        <v>1234</v>
      </c>
      <c r="L181" s="2" t="s">
        <v>1235</v>
      </c>
      <c r="M181" s="3" t="str">
        <f>VLOOKUP(G181,справочник!$B$1:$C$94,2,0)</f>
        <v>МСК</v>
      </c>
    </row>
    <row r="182" spans="1:13" ht="42" thickBot="1" x14ac:dyDescent="0.35">
      <c r="A182" s="1" t="s">
        <v>1237</v>
      </c>
      <c r="B182" s="1">
        <v>4096</v>
      </c>
      <c r="C182" s="1" t="s">
        <v>1238</v>
      </c>
      <c r="D182" s="2" t="s">
        <v>1239</v>
      </c>
      <c r="E182" s="1" t="s">
        <v>141</v>
      </c>
      <c r="F182" s="1" t="s">
        <v>14</v>
      </c>
      <c r="G182" s="1" t="s">
        <v>15</v>
      </c>
      <c r="H182" s="1" t="s">
        <v>16</v>
      </c>
      <c r="I182" s="1" t="s">
        <v>1241</v>
      </c>
      <c r="J182" s="2" t="s">
        <v>1242</v>
      </c>
      <c r="K182" s="2" t="s">
        <v>1243</v>
      </c>
      <c r="L182" s="2" t="s">
        <v>1240</v>
      </c>
      <c r="M182" s="3" t="str">
        <f>VLOOKUP(G182,справочник!$B$1:$C$94,2,0)</f>
        <v>МСК</v>
      </c>
    </row>
    <row r="183" spans="1:13" ht="28.2" thickBot="1" x14ac:dyDescent="0.35">
      <c r="A183" s="1" t="s">
        <v>1237</v>
      </c>
      <c r="B183" s="1">
        <v>7356</v>
      </c>
      <c r="C183" s="1" t="s">
        <v>1244</v>
      </c>
      <c r="D183" s="2" t="s">
        <v>1245</v>
      </c>
      <c r="E183" s="1" t="s">
        <v>773</v>
      </c>
      <c r="F183" s="1" t="s">
        <v>14</v>
      </c>
      <c r="G183" s="1" t="s">
        <v>15</v>
      </c>
      <c r="H183" s="1" t="s">
        <v>16</v>
      </c>
      <c r="I183" s="1" t="s">
        <v>1247</v>
      </c>
      <c r="J183" s="2" t="s">
        <v>1248</v>
      </c>
      <c r="K183" s="2" t="s">
        <v>1249</v>
      </c>
      <c r="L183" s="2" t="s">
        <v>1246</v>
      </c>
      <c r="M183" s="3" t="str">
        <f>VLOOKUP(G183,справочник!$B$1:$C$94,2,0)</f>
        <v>МСК</v>
      </c>
    </row>
    <row r="184" spans="1:13" ht="42" thickBot="1" x14ac:dyDescent="0.35">
      <c r="A184" s="1" t="s">
        <v>17</v>
      </c>
      <c r="B184" s="1">
        <v>3785</v>
      </c>
      <c r="C184" s="1" t="s">
        <v>1250</v>
      </c>
      <c r="D184" s="2" t="s">
        <v>1251</v>
      </c>
      <c r="E184" s="1" t="s">
        <v>20</v>
      </c>
      <c r="F184" s="1" t="s">
        <v>36</v>
      </c>
      <c r="G184" s="1" t="s">
        <v>1181</v>
      </c>
      <c r="H184" s="1" t="s">
        <v>1253</v>
      </c>
      <c r="I184" s="1" t="s">
        <v>1254</v>
      </c>
      <c r="J184" s="2" t="s">
        <v>1255</v>
      </c>
      <c r="K184" s="2" t="s">
        <v>1256</v>
      </c>
      <c r="L184" s="2" t="s">
        <v>1252</v>
      </c>
      <c r="M184" s="3" t="str">
        <f>VLOOKUP(G184,справочник!$B$1:$C$94,2,0)</f>
        <v>МСК+4</v>
      </c>
    </row>
    <row r="185" spans="1:13" ht="42" thickBot="1" x14ac:dyDescent="0.35">
      <c r="A185" s="1" t="s">
        <v>131</v>
      </c>
      <c r="B185" s="1">
        <v>3649</v>
      </c>
      <c r="C185" s="1" t="s">
        <v>1257</v>
      </c>
      <c r="D185" s="2" t="s">
        <v>1258</v>
      </c>
      <c r="E185" s="1" t="s">
        <v>104</v>
      </c>
      <c r="F185" s="1" t="s">
        <v>14</v>
      </c>
      <c r="G185" s="1" t="s">
        <v>15</v>
      </c>
      <c r="H185" s="1" t="s">
        <v>16</v>
      </c>
      <c r="I185" s="1" t="s">
        <v>1259</v>
      </c>
      <c r="J185" s="2" t="s">
        <v>232</v>
      </c>
      <c r="K185" s="2" t="s">
        <v>1260</v>
      </c>
      <c r="L185" s="2" t="s">
        <v>1261</v>
      </c>
      <c r="M185" s="3" t="str">
        <f>VLOOKUP(G185,справочник!$B$1:$C$94,2,0)</f>
        <v>МСК</v>
      </c>
    </row>
    <row r="186" spans="1:13" ht="42" thickBot="1" x14ac:dyDescent="0.35">
      <c r="A186" s="1" t="s">
        <v>17</v>
      </c>
      <c r="B186" s="1">
        <v>3917</v>
      </c>
      <c r="C186" s="1" t="s">
        <v>1262</v>
      </c>
      <c r="D186" s="2" t="s">
        <v>1263</v>
      </c>
      <c r="E186" s="1" t="s">
        <v>20</v>
      </c>
      <c r="F186" s="1" t="s">
        <v>14</v>
      </c>
      <c r="G186" s="1" t="s">
        <v>43</v>
      </c>
      <c r="H186" s="1" t="s">
        <v>1265</v>
      </c>
      <c r="I186" s="1" t="s">
        <v>1266</v>
      </c>
      <c r="J186" s="2" t="s">
        <v>1267</v>
      </c>
      <c r="K186" s="2" t="s">
        <v>1268</v>
      </c>
      <c r="L186" s="2" t="s">
        <v>1264</v>
      </c>
      <c r="M186" s="3" t="str">
        <f>VLOOKUP(G186,справочник!$B$1:$C$94,2,0)</f>
        <v>МСК</v>
      </c>
    </row>
    <row r="187" spans="1:13" ht="55.8" thickBot="1" x14ac:dyDescent="0.35">
      <c r="A187" s="1" t="s">
        <v>131</v>
      </c>
      <c r="B187" s="1">
        <v>3284</v>
      </c>
      <c r="C187" s="1" t="s">
        <v>1269</v>
      </c>
      <c r="D187" s="2" t="s">
        <v>1270</v>
      </c>
      <c r="E187" s="1" t="s">
        <v>20</v>
      </c>
      <c r="F187" s="1" t="s">
        <v>14</v>
      </c>
      <c r="G187" s="1" t="s">
        <v>15</v>
      </c>
      <c r="H187" s="1" t="s">
        <v>16</v>
      </c>
      <c r="I187" s="1" t="s">
        <v>1271</v>
      </c>
      <c r="J187" s="2" t="s">
        <v>1272</v>
      </c>
      <c r="K187" s="2" t="s">
        <v>1273</v>
      </c>
      <c r="L187" s="2" t="s">
        <v>1274</v>
      </c>
      <c r="M187" s="3" t="str">
        <f>VLOOKUP(G187,справочник!$B$1:$C$94,2,0)</f>
        <v>МСК</v>
      </c>
    </row>
    <row r="188" spans="1:13" ht="69.599999999999994" thickBot="1" x14ac:dyDescent="0.35">
      <c r="A188" s="1" t="s">
        <v>146</v>
      </c>
      <c r="B188" s="1">
        <v>2847</v>
      </c>
      <c r="C188" s="1" t="s">
        <v>1275</v>
      </c>
      <c r="D188" s="2" t="s">
        <v>1276</v>
      </c>
      <c r="E188" s="1" t="s">
        <v>20</v>
      </c>
      <c r="F188" s="1" t="s">
        <v>14</v>
      </c>
      <c r="G188" s="1" t="s">
        <v>15</v>
      </c>
      <c r="H188" s="1" t="s">
        <v>16</v>
      </c>
      <c r="I188" s="1" t="s">
        <v>1277</v>
      </c>
      <c r="J188" s="2" t="s">
        <v>1278</v>
      </c>
      <c r="K188" s="2" t="s">
        <v>1279</v>
      </c>
      <c r="L188" s="2" t="s">
        <v>1280</v>
      </c>
      <c r="M188" s="3" t="str">
        <f>VLOOKUP(G188,справочник!$B$1:$C$94,2,0)</f>
        <v>МСК</v>
      </c>
    </row>
    <row r="189" spans="1:13" ht="55.8" thickBot="1" x14ac:dyDescent="0.35">
      <c r="A189" s="1" t="s">
        <v>146</v>
      </c>
      <c r="B189" s="1">
        <v>1949</v>
      </c>
      <c r="C189" s="1" t="s">
        <v>1281</v>
      </c>
      <c r="D189" s="2" t="s">
        <v>1282</v>
      </c>
      <c r="E189" s="1" t="s">
        <v>20</v>
      </c>
      <c r="F189" s="1" t="s">
        <v>14</v>
      </c>
      <c r="G189" s="1" t="s">
        <v>15</v>
      </c>
      <c r="H189" s="1" t="s">
        <v>16</v>
      </c>
      <c r="I189" s="1" t="s">
        <v>1283</v>
      </c>
      <c r="J189" s="2" t="s">
        <v>1284</v>
      </c>
      <c r="K189" s="2" t="s">
        <v>1285</v>
      </c>
      <c r="L189" s="2" t="s">
        <v>1286</v>
      </c>
      <c r="M189" s="3" t="str">
        <f>VLOOKUP(G189,справочник!$B$1:$C$94,2,0)</f>
        <v>МСК</v>
      </c>
    </row>
    <row r="190" spans="1:13" ht="42" thickBot="1" x14ac:dyDescent="0.35">
      <c r="A190" s="1" t="s">
        <v>350</v>
      </c>
      <c r="B190" s="1">
        <v>3627</v>
      </c>
      <c r="C190" s="1" t="s">
        <v>1287</v>
      </c>
      <c r="D190" s="2" t="s">
        <v>1288</v>
      </c>
      <c r="E190" s="1" t="s">
        <v>20</v>
      </c>
      <c r="F190" s="1" t="s">
        <v>14</v>
      </c>
      <c r="G190" s="1" t="s">
        <v>15</v>
      </c>
      <c r="H190" s="1" t="s">
        <v>16</v>
      </c>
      <c r="I190" s="1" t="s">
        <v>1289</v>
      </c>
      <c r="J190" s="2" t="s">
        <v>381</v>
      </c>
      <c r="K190" s="2" t="s">
        <v>1290</v>
      </c>
      <c r="L190" s="2" t="s">
        <v>1291</v>
      </c>
      <c r="M190" s="3" t="str">
        <f>VLOOKUP(G190,справочник!$B$1:$C$94,2,0)</f>
        <v>МСК</v>
      </c>
    </row>
    <row r="191" spans="1:13" ht="42" thickBot="1" x14ac:dyDescent="0.35">
      <c r="A191" s="1" t="s">
        <v>54</v>
      </c>
      <c r="B191" s="1">
        <v>3262</v>
      </c>
      <c r="C191" s="1" t="s">
        <v>1292</v>
      </c>
      <c r="D191" s="2" t="s">
        <v>1293</v>
      </c>
      <c r="E191" s="1" t="s">
        <v>29</v>
      </c>
      <c r="F191" s="1" t="s">
        <v>14</v>
      </c>
      <c r="G191" s="1" t="s">
        <v>43</v>
      </c>
      <c r="H191" s="1" t="s">
        <v>1295</v>
      </c>
      <c r="I191" s="1" t="s">
        <v>1296</v>
      </c>
      <c r="J191" s="2" t="s">
        <v>1297</v>
      </c>
      <c r="K191" s="2" t="s">
        <v>1298</v>
      </c>
      <c r="L191" s="2" t="s">
        <v>1294</v>
      </c>
      <c r="M191" s="3" t="str">
        <f>VLOOKUP(G191,справочник!$B$1:$C$94,2,0)</f>
        <v>МСК</v>
      </c>
    </row>
    <row r="192" spans="1:13" ht="42" thickBot="1" x14ac:dyDescent="0.35">
      <c r="A192" s="1" t="s">
        <v>724</v>
      </c>
      <c r="B192" s="1">
        <v>706</v>
      </c>
      <c r="C192" s="1" t="s">
        <v>1299</v>
      </c>
      <c r="D192" s="2" t="s">
        <v>1300</v>
      </c>
      <c r="E192" s="1" t="s">
        <v>29</v>
      </c>
      <c r="F192" s="1" t="s">
        <v>30</v>
      </c>
      <c r="G192" s="1" t="s">
        <v>31</v>
      </c>
      <c r="H192" s="1" t="s">
        <v>32</v>
      </c>
      <c r="I192" s="1" t="s">
        <v>1301</v>
      </c>
      <c r="J192" s="2" t="s">
        <v>1302</v>
      </c>
      <c r="K192" s="2" t="s">
        <v>1303</v>
      </c>
      <c r="L192" s="2" t="s">
        <v>1304</v>
      </c>
      <c r="M192" s="3" t="str">
        <f>VLOOKUP(G192,справочник!$B$1:$C$94,2,0)</f>
        <v>МСК</v>
      </c>
    </row>
    <row r="193" spans="1:13" ht="42" thickBot="1" x14ac:dyDescent="0.35">
      <c r="A193" s="1" t="s">
        <v>261</v>
      </c>
      <c r="B193" s="1">
        <v>907</v>
      </c>
      <c r="C193" s="1" t="s">
        <v>1305</v>
      </c>
      <c r="D193" s="2" t="s">
        <v>1306</v>
      </c>
      <c r="E193" s="1" t="s">
        <v>29</v>
      </c>
      <c r="F193" s="1" t="s">
        <v>14</v>
      </c>
      <c r="G193" s="1" t="s">
        <v>15</v>
      </c>
      <c r="H193" s="1" t="s">
        <v>16</v>
      </c>
      <c r="I193" s="1" t="s">
        <v>1307</v>
      </c>
      <c r="J193" s="2" t="s">
        <v>1308</v>
      </c>
      <c r="K193" s="2" t="s">
        <v>1309</v>
      </c>
      <c r="L193" s="2" t="s">
        <v>1310</v>
      </c>
      <c r="M193" s="3" t="str">
        <f>VLOOKUP(G193,справочник!$B$1:$C$94,2,0)</f>
        <v>МСК</v>
      </c>
    </row>
    <row r="194" spans="1:13" ht="42" thickBot="1" x14ac:dyDescent="0.35">
      <c r="A194" s="1" t="s">
        <v>168</v>
      </c>
      <c r="B194" s="1">
        <v>3263</v>
      </c>
      <c r="C194" s="1" t="s">
        <v>1311</v>
      </c>
      <c r="D194" s="2" t="s">
        <v>1312</v>
      </c>
      <c r="E194" s="1" t="s">
        <v>29</v>
      </c>
      <c r="F194" s="1" t="s">
        <v>14</v>
      </c>
      <c r="G194" s="1" t="s">
        <v>15</v>
      </c>
      <c r="H194" s="1" t="s">
        <v>16</v>
      </c>
      <c r="I194" s="1" t="s">
        <v>1313</v>
      </c>
      <c r="J194" s="2" t="s">
        <v>1314</v>
      </c>
      <c r="K194" s="2" t="s">
        <v>1315</v>
      </c>
      <c r="L194" s="2" t="s">
        <v>1316</v>
      </c>
      <c r="M194" s="3" t="str">
        <f>VLOOKUP(G194,справочник!$B$1:$C$94,2,0)</f>
        <v>МСК</v>
      </c>
    </row>
    <row r="195" spans="1:13" ht="42" thickBot="1" x14ac:dyDescent="0.35">
      <c r="A195" s="1" t="s">
        <v>146</v>
      </c>
      <c r="B195" s="1">
        <v>49</v>
      </c>
      <c r="C195" s="1" t="s">
        <v>1317</v>
      </c>
      <c r="D195" s="2" t="s">
        <v>1318</v>
      </c>
      <c r="E195" s="1" t="s">
        <v>29</v>
      </c>
      <c r="F195" s="1" t="s">
        <v>14</v>
      </c>
      <c r="G195" s="1" t="s">
        <v>15</v>
      </c>
      <c r="H195" s="1" t="s">
        <v>16</v>
      </c>
      <c r="I195" s="1" t="s">
        <v>1319</v>
      </c>
      <c r="J195" s="2" t="s">
        <v>1320</v>
      </c>
      <c r="K195" s="2" t="s">
        <v>1321</v>
      </c>
      <c r="L195" s="2" t="s">
        <v>1322</v>
      </c>
      <c r="M195" s="3" t="str">
        <f>VLOOKUP(G195,справочник!$B$1:$C$94,2,0)</f>
        <v>МСК</v>
      </c>
    </row>
    <row r="196" spans="1:13" ht="42" thickBot="1" x14ac:dyDescent="0.35">
      <c r="A196" s="1" t="s">
        <v>146</v>
      </c>
      <c r="B196" s="1">
        <v>50</v>
      </c>
      <c r="C196" s="1" t="s">
        <v>1323</v>
      </c>
      <c r="D196" s="2" t="s">
        <v>1324</v>
      </c>
      <c r="E196" s="1" t="s">
        <v>29</v>
      </c>
      <c r="F196" s="1" t="s">
        <v>109</v>
      </c>
      <c r="G196" s="1" t="s">
        <v>1325</v>
      </c>
      <c r="H196" s="1" t="s">
        <v>1326</v>
      </c>
      <c r="I196" s="1" t="s">
        <v>1327</v>
      </c>
      <c r="J196" s="2" t="s">
        <v>1328</v>
      </c>
      <c r="K196" s="2" t="s">
        <v>1329</v>
      </c>
      <c r="L196" s="2" t="s">
        <v>1330</v>
      </c>
      <c r="M196" s="3" t="str">
        <f>VLOOKUP(G196,справочник!$B$1:$C$94,2,0)</f>
        <v>МСК</v>
      </c>
    </row>
    <row r="197" spans="1:13" ht="28.2" thickBot="1" x14ac:dyDescent="0.35">
      <c r="A197" s="1" t="s">
        <v>12</v>
      </c>
      <c r="B197" s="1">
        <v>1388</v>
      </c>
      <c r="C197" s="1" t="s">
        <v>1331</v>
      </c>
      <c r="D197" s="2" t="s">
        <v>1332</v>
      </c>
      <c r="E197" s="1" t="s">
        <v>29</v>
      </c>
      <c r="F197" s="1" t="s">
        <v>14</v>
      </c>
      <c r="G197" s="1" t="s">
        <v>43</v>
      </c>
      <c r="H197" s="1" t="s">
        <v>1334</v>
      </c>
      <c r="I197" s="1" t="s">
        <v>1335</v>
      </c>
      <c r="J197" s="2" t="s">
        <v>1336</v>
      </c>
      <c r="K197" s="2" t="s">
        <v>1337</v>
      </c>
      <c r="L197" s="2" t="s">
        <v>1333</v>
      </c>
      <c r="M197" s="3" t="str">
        <f>VLOOKUP(G197,справочник!$B$1:$C$94,2,0)</f>
        <v>МСК</v>
      </c>
    </row>
    <row r="198" spans="1:13" ht="28.2" thickBot="1" x14ac:dyDescent="0.35">
      <c r="A198" s="1" t="s">
        <v>12</v>
      </c>
      <c r="B198" s="1">
        <v>1202</v>
      </c>
      <c r="C198" s="1" t="s">
        <v>1338</v>
      </c>
      <c r="D198" s="2" t="s">
        <v>1339</v>
      </c>
      <c r="E198" s="1" t="s">
        <v>29</v>
      </c>
      <c r="F198" s="1" t="s">
        <v>14</v>
      </c>
      <c r="G198" s="1" t="s">
        <v>15</v>
      </c>
      <c r="H198" s="1" t="s">
        <v>16</v>
      </c>
      <c r="I198" s="1" t="s">
        <v>1341</v>
      </c>
      <c r="J198" s="2" t="s">
        <v>1342</v>
      </c>
      <c r="K198" s="2" t="s">
        <v>1343</v>
      </c>
      <c r="L198" s="2" t="s">
        <v>1340</v>
      </c>
      <c r="M198" s="3" t="str">
        <f>VLOOKUP(G198,справочник!$B$1:$C$94,2,0)</f>
        <v>МСК</v>
      </c>
    </row>
    <row r="199" spans="1:13" ht="42" thickBot="1" x14ac:dyDescent="0.35">
      <c r="A199" s="1" t="s">
        <v>12</v>
      </c>
      <c r="B199" s="1">
        <v>1004</v>
      </c>
      <c r="C199" s="1" t="s">
        <v>1344</v>
      </c>
      <c r="D199" s="2" t="s">
        <v>1345</v>
      </c>
      <c r="E199" s="1" t="s">
        <v>29</v>
      </c>
      <c r="F199" s="1" t="s">
        <v>47</v>
      </c>
      <c r="G199" s="1" t="s">
        <v>48</v>
      </c>
      <c r="H199" s="1" t="s">
        <v>49</v>
      </c>
      <c r="I199" s="1" t="s">
        <v>1346</v>
      </c>
      <c r="J199" s="2" t="s">
        <v>1347</v>
      </c>
      <c r="K199" s="2" t="s">
        <v>1348</v>
      </c>
      <c r="L199" s="2" t="s">
        <v>1349</v>
      </c>
      <c r="M199" s="3" t="str">
        <f>VLOOKUP(G199,справочник!$B$1:$C$94,2,0)</f>
        <v>МСК+2</v>
      </c>
    </row>
    <row r="200" spans="1:13" ht="28.2" thickBot="1" x14ac:dyDescent="0.35">
      <c r="A200" s="1" t="s">
        <v>12</v>
      </c>
      <c r="B200" s="1">
        <v>3145</v>
      </c>
      <c r="C200" s="1" t="s">
        <v>1350</v>
      </c>
      <c r="D200" s="2" t="s">
        <v>1351</v>
      </c>
      <c r="E200" s="1" t="s">
        <v>29</v>
      </c>
      <c r="F200" s="1" t="s">
        <v>109</v>
      </c>
      <c r="G200" s="1" t="s">
        <v>1352</v>
      </c>
      <c r="H200" s="1" t="s">
        <v>1353</v>
      </c>
      <c r="I200" s="1" t="s">
        <v>1354</v>
      </c>
      <c r="J200" s="2" t="s">
        <v>1355</v>
      </c>
      <c r="K200" s="2" t="s">
        <v>1356</v>
      </c>
      <c r="L200" s="2" t="s">
        <v>1357</v>
      </c>
      <c r="M200" s="3" t="str">
        <f>VLOOKUP(G200,справочник!$B$1:$C$94,2,0)</f>
        <v>МСК</v>
      </c>
    </row>
    <row r="201" spans="1:13" ht="42" thickBot="1" x14ac:dyDescent="0.35">
      <c r="A201" s="1" t="s">
        <v>261</v>
      </c>
      <c r="B201" s="1">
        <v>954</v>
      </c>
      <c r="C201" s="1" t="s">
        <v>1358</v>
      </c>
      <c r="D201" s="2" t="s">
        <v>1359</v>
      </c>
      <c r="E201" s="1" t="s">
        <v>29</v>
      </c>
      <c r="F201" s="1" t="s">
        <v>109</v>
      </c>
      <c r="G201" s="1" t="s">
        <v>1352</v>
      </c>
      <c r="H201" s="1" t="s">
        <v>1360</v>
      </c>
      <c r="I201" s="1" t="s">
        <v>1361</v>
      </c>
      <c r="J201" s="2" t="s">
        <v>481</v>
      </c>
      <c r="K201" s="2" t="s">
        <v>1362</v>
      </c>
      <c r="L201" s="2" t="s">
        <v>1363</v>
      </c>
      <c r="M201" s="3" t="str">
        <f>VLOOKUP(G201,справочник!$B$1:$C$94,2,0)</f>
        <v>МСК</v>
      </c>
    </row>
    <row r="202" spans="1:13" ht="42" thickBot="1" x14ac:dyDescent="0.35">
      <c r="A202" s="1" t="s">
        <v>131</v>
      </c>
      <c r="B202" s="1">
        <v>601</v>
      </c>
      <c r="C202" s="1" t="s">
        <v>1364</v>
      </c>
      <c r="D202" s="2" t="s">
        <v>1365</v>
      </c>
      <c r="E202" s="1" t="s">
        <v>29</v>
      </c>
      <c r="F202" s="1" t="s">
        <v>109</v>
      </c>
      <c r="G202" s="1" t="s">
        <v>1352</v>
      </c>
      <c r="H202" s="1" t="s">
        <v>1360</v>
      </c>
      <c r="I202" s="1" t="s">
        <v>1366</v>
      </c>
      <c r="J202" s="2" t="s">
        <v>1367</v>
      </c>
      <c r="K202" s="2" t="s">
        <v>1368</v>
      </c>
      <c r="L202" s="2" t="s">
        <v>1369</v>
      </c>
      <c r="M202" s="3" t="str">
        <f>VLOOKUP(G202,справочник!$B$1:$C$94,2,0)</f>
        <v>МСК</v>
      </c>
    </row>
    <row r="203" spans="1:13" ht="42" thickBot="1" x14ac:dyDescent="0.35">
      <c r="A203" s="1" t="s">
        <v>168</v>
      </c>
      <c r="B203" s="1">
        <v>51</v>
      </c>
      <c r="C203" s="1" t="s">
        <v>1370</v>
      </c>
      <c r="D203" s="2" t="s">
        <v>1371</v>
      </c>
      <c r="E203" s="1" t="s">
        <v>29</v>
      </c>
      <c r="F203" s="1" t="s">
        <v>109</v>
      </c>
      <c r="G203" s="1" t="s">
        <v>1352</v>
      </c>
      <c r="H203" s="1" t="s">
        <v>1360</v>
      </c>
      <c r="I203" s="1" t="s">
        <v>1372</v>
      </c>
      <c r="J203" s="2" t="s">
        <v>1373</v>
      </c>
      <c r="K203" s="2" t="s">
        <v>1374</v>
      </c>
      <c r="L203" s="2" t="s">
        <v>1375</v>
      </c>
      <c r="M203" s="3" t="str">
        <f>VLOOKUP(G203,справочник!$B$1:$C$94,2,0)</f>
        <v>МСК</v>
      </c>
    </row>
    <row r="204" spans="1:13" ht="55.8" thickBot="1" x14ac:dyDescent="0.35">
      <c r="A204" s="1" t="s">
        <v>146</v>
      </c>
      <c r="B204" s="1">
        <v>52</v>
      </c>
      <c r="C204" s="1" t="s">
        <v>1376</v>
      </c>
      <c r="D204" s="2" t="s">
        <v>1377</v>
      </c>
      <c r="E204" s="1" t="s">
        <v>29</v>
      </c>
      <c r="F204" s="1" t="s">
        <v>109</v>
      </c>
      <c r="G204" s="1" t="s">
        <v>1352</v>
      </c>
      <c r="H204" s="1" t="s">
        <v>1360</v>
      </c>
      <c r="I204" s="1" t="s">
        <v>1378</v>
      </c>
      <c r="J204" s="2" t="s">
        <v>1379</v>
      </c>
      <c r="K204" s="2" t="s">
        <v>1380</v>
      </c>
      <c r="L204" s="2" t="s">
        <v>1381</v>
      </c>
      <c r="M204" s="3" t="str">
        <f>VLOOKUP(G204,справочник!$B$1:$C$94,2,0)</f>
        <v>МСК</v>
      </c>
    </row>
    <row r="205" spans="1:13" ht="42" thickBot="1" x14ac:dyDescent="0.35">
      <c r="A205" s="1" t="s">
        <v>146</v>
      </c>
      <c r="B205" s="1">
        <v>53</v>
      </c>
      <c r="C205" s="1" t="s">
        <v>1382</v>
      </c>
      <c r="D205" s="2" t="s">
        <v>1383</v>
      </c>
      <c r="E205" s="1" t="s">
        <v>29</v>
      </c>
      <c r="F205" s="1" t="s">
        <v>109</v>
      </c>
      <c r="G205" s="1" t="s">
        <v>1352</v>
      </c>
      <c r="H205" s="1" t="s">
        <v>1360</v>
      </c>
      <c r="I205" s="1" t="s">
        <v>1384</v>
      </c>
      <c r="J205" s="2" t="s">
        <v>1385</v>
      </c>
      <c r="K205" s="2" t="s">
        <v>1386</v>
      </c>
      <c r="L205" s="2" t="s">
        <v>1387</v>
      </c>
      <c r="M205" s="3" t="str">
        <f>VLOOKUP(G205,справочник!$B$1:$C$94,2,0)</f>
        <v>МСК</v>
      </c>
    </row>
    <row r="206" spans="1:13" ht="28.2" thickBot="1" x14ac:dyDescent="0.35">
      <c r="A206" s="1" t="s">
        <v>54</v>
      </c>
      <c r="B206" s="1">
        <v>3170</v>
      </c>
      <c r="C206" s="1" t="s">
        <v>1388</v>
      </c>
      <c r="D206" s="2" t="s">
        <v>1389</v>
      </c>
      <c r="E206" s="1" t="s">
        <v>29</v>
      </c>
      <c r="F206" s="1" t="s">
        <v>109</v>
      </c>
      <c r="G206" s="1" t="s">
        <v>1352</v>
      </c>
      <c r="H206" s="1" t="s">
        <v>1360</v>
      </c>
      <c r="I206" s="1" t="s">
        <v>1390</v>
      </c>
      <c r="J206" s="2" t="s">
        <v>1391</v>
      </c>
      <c r="K206" s="2" t="s">
        <v>1392</v>
      </c>
      <c r="L206" s="2" t="s">
        <v>1393</v>
      </c>
      <c r="M206" s="3" t="str">
        <f>VLOOKUP(G206,справочник!$B$1:$C$94,2,0)</f>
        <v>МСК</v>
      </c>
    </row>
    <row r="207" spans="1:13" ht="28.2" thickBot="1" x14ac:dyDescent="0.35">
      <c r="A207" s="1" t="s">
        <v>12</v>
      </c>
      <c r="B207" s="1">
        <v>1710</v>
      </c>
      <c r="C207" s="1" t="s">
        <v>1394</v>
      </c>
      <c r="D207" s="2" t="s">
        <v>1395</v>
      </c>
      <c r="E207" s="1" t="s">
        <v>29</v>
      </c>
      <c r="F207" s="1" t="s">
        <v>109</v>
      </c>
      <c r="G207" s="1" t="s">
        <v>1352</v>
      </c>
      <c r="H207" s="1" t="s">
        <v>1360</v>
      </c>
      <c r="I207" s="1" t="s">
        <v>1396</v>
      </c>
      <c r="J207" s="2" t="s">
        <v>1397</v>
      </c>
      <c r="K207" s="2" t="s">
        <v>1398</v>
      </c>
      <c r="L207" s="2" t="s">
        <v>1399</v>
      </c>
      <c r="M207" s="3" t="str">
        <f>VLOOKUP(G207,справочник!$B$1:$C$94,2,0)</f>
        <v>МСК</v>
      </c>
    </row>
    <row r="208" spans="1:13" ht="42" thickBot="1" x14ac:dyDescent="0.35">
      <c r="A208" s="1" t="s">
        <v>146</v>
      </c>
      <c r="B208" s="1">
        <v>2063</v>
      </c>
      <c r="C208" s="1" t="s">
        <v>1400</v>
      </c>
      <c r="D208" s="2" t="s">
        <v>1401</v>
      </c>
      <c r="E208" s="1" t="s">
        <v>20</v>
      </c>
      <c r="F208" s="1" t="s">
        <v>109</v>
      </c>
      <c r="G208" s="1" t="s">
        <v>1352</v>
      </c>
      <c r="H208" s="1" t="s">
        <v>1360</v>
      </c>
      <c r="I208" s="1" t="s">
        <v>1403</v>
      </c>
      <c r="J208" s="2" t="s">
        <v>467</v>
      </c>
      <c r="K208" s="2" t="s">
        <v>1404</v>
      </c>
      <c r="L208" s="2" t="s">
        <v>1402</v>
      </c>
      <c r="M208" s="3" t="str">
        <f>VLOOKUP(G208,справочник!$B$1:$C$94,2,0)</f>
        <v>МСК</v>
      </c>
    </row>
    <row r="209" spans="1:13" ht="97.2" thickBot="1" x14ac:dyDescent="0.35">
      <c r="A209" s="1" t="s">
        <v>621</v>
      </c>
      <c r="B209" s="1">
        <v>651</v>
      </c>
      <c r="C209" s="1" t="s">
        <v>1405</v>
      </c>
      <c r="D209" s="2" t="s">
        <v>1406</v>
      </c>
      <c r="E209" s="1" t="s">
        <v>29</v>
      </c>
      <c r="F209" s="1" t="s">
        <v>114</v>
      </c>
      <c r="G209" s="1" t="s">
        <v>322</v>
      </c>
      <c r="H209" s="1" t="s">
        <v>1407</v>
      </c>
      <c r="I209" s="1" t="s">
        <v>1408</v>
      </c>
      <c r="J209" s="2" t="s">
        <v>1409</v>
      </c>
      <c r="K209" s="2" t="s">
        <v>1410</v>
      </c>
      <c r="L209" s="2" t="s">
        <v>1411</v>
      </c>
      <c r="M209" s="3" t="str">
        <f>VLOOKUP(G209,справочник!$B$1:$C$94,2,0)</f>
        <v>МСК+7</v>
      </c>
    </row>
    <row r="210" spans="1:13" ht="42" thickBot="1" x14ac:dyDescent="0.35">
      <c r="A210" s="1" t="s">
        <v>146</v>
      </c>
      <c r="B210" s="1">
        <v>1934</v>
      </c>
      <c r="C210" s="1" t="s">
        <v>1412</v>
      </c>
      <c r="D210" s="2" t="s">
        <v>1413</v>
      </c>
      <c r="E210" s="1" t="s">
        <v>20</v>
      </c>
      <c r="F210" s="1" t="s">
        <v>114</v>
      </c>
      <c r="G210" s="1" t="s">
        <v>121</v>
      </c>
      <c r="H210" s="1" t="s">
        <v>1415</v>
      </c>
      <c r="I210" s="1" t="s">
        <v>1416</v>
      </c>
      <c r="J210" s="2" t="s">
        <v>1417</v>
      </c>
      <c r="K210" s="2" t="s">
        <v>1418</v>
      </c>
      <c r="L210" s="2" t="s">
        <v>1414</v>
      </c>
      <c r="M210" s="3" t="str">
        <f>VLOOKUP(G210,справочник!$B$1:$C$94,2,0)</f>
        <v>МСК+7</v>
      </c>
    </row>
    <row r="211" spans="1:13" ht="42" thickBot="1" x14ac:dyDescent="0.35">
      <c r="A211" s="1" t="s">
        <v>261</v>
      </c>
      <c r="B211" s="1">
        <v>758</v>
      </c>
      <c r="C211" s="1" t="s">
        <v>1419</v>
      </c>
      <c r="D211" s="2" t="s">
        <v>1420</v>
      </c>
      <c r="E211" s="1" t="s">
        <v>29</v>
      </c>
      <c r="F211" s="1" t="s">
        <v>114</v>
      </c>
      <c r="G211" s="1" t="s">
        <v>308</v>
      </c>
      <c r="H211" s="1" t="s">
        <v>309</v>
      </c>
      <c r="I211" s="1" t="s">
        <v>1421</v>
      </c>
      <c r="J211" s="2" t="s">
        <v>1422</v>
      </c>
      <c r="K211" s="2" t="s">
        <v>1423</v>
      </c>
      <c r="L211" s="2" t="s">
        <v>1424</v>
      </c>
      <c r="M211" s="3" t="str">
        <f>VLOOKUP(G211,справочник!$B$1:$C$94,2,0)</f>
        <v>МСК+6</v>
      </c>
    </row>
    <row r="212" spans="1:13" ht="42" thickBot="1" x14ac:dyDescent="0.35">
      <c r="A212" s="1" t="s">
        <v>177</v>
      </c>
      <c r="B212" s="1">
        <v>762</v>
      </c>
      <c r="C212" s="1" t="s">
        <v>1425</v>
      </c>
      <c r="D212" s="2" t="s">
        <v>1426</v>
      </c>
      <c r="E212" s="1" t="s">
        <v>29</v>
      </c>
      <c r="F212" s="1" t="s">
        <v>114</v>
      </c>
      <c r="G212" s="1" t="s">
        <v>121</v>
      </c>
      <c r="H212" s="1" t="s">
        <v>122</v>
      </c>
      <c r="I212" s="1" t="s">
        <v>1428</v>
      </c>
      <c r="J212" s="2" t="s">
        <v>1429</v>
      </c>
      <c r="K212" s="2" t="s">
        <v>1430</v>
      </c>
      <c r="L212" s="2" t="s">
        <v>1427</v>
      </c>
      <c r="M212" s="3" t="str">
        <f>VLOOKUP(G212,справочник!$B$1:$C$94,2,0)</f>
        <v>МСК+7</v>
      </c>
    </row>
    <row r="213" spans="1:13" ht="83.4" thickBot="1" x14ac:dyDescent="0.35">
      <c r="A213" s="1" t="s">
        <v>131</v>
      </c>
      <c r="B213" s="1">
        <v>636</v>
      </c>
      <c r="C213" s="1" t="s">
        <v>1431</v>
      </c>
      <c r="D213" s="2" t="s">
        <v>1432</v>
      </c>
      <c r="E213" s="1" t="s">
        <v>29</v>
      </c>
      <c r="F213" s="1" t="s">
        <v>114</v>
      </c>
      <c r="G213" s="1" t="s">
        <v>322</v>
      </c>
      <c r="H213" s="1" t="s">
        <v>1407</v>
      </c>
      <c r="I213" s="1" t="s">
        <v>1433</v>
      </c>
      <c r="J213" s="2" t="s">
        <v>1434</v>
      </c>
      <c r="K213" s="2" t="s">
        <v>1435</v>
      </c>
      <c r="L213" s="2" t="s">
        <v>1436</v>
      </c>
      <c r="M213" s="3" t="str">
        <f>VLOOKUP(G213,справочник!$B$1:$C$94,2,0)</f>
        <v>МСК+7</v>
      </c>
    </row>
    <row r="214" spans="1:13" ht="42" thickBot="1" x14ac:dyDescent="0.35">
      <c r="A214" s="1" t="s">
        <v>396</v>
      </c>
      <c r="B214" s="1">
        <v>639</v>
      </c>
      <c r="C214" s="1" t="s">
        <v>1437</v>
      </c>
      <c r="D214" s="2" t="s">
        <v>1438</v>
      </c>
      <c r="E214" s="1" t="s">
        <v>29</v>
      </c>
      <c r="F214" s="1" t="s">
        <v>114</v>
      </c>
      <c r="G214" s="1" t="s">
        <v>121</v>
      </c>
      <c r="H214" s="1" t="s">
        <v>122</v>
      </c>
      <c r="I214" s="1" t="s">
        <v>1439</v>
      </c>
      <c r="J214" s="2" t="s">
        <v>1440</v>
      </c>
      <c r="K214" s="2" t="s">
        <v>1441</v>
      </c>
      <c r="L214" s="2" t="s">
        <v>1442</v>
      </c>
      <c r="M214" s="3" t="str">
        <f>VLOOKUP(G214,справочник!$B$1:$C$94,2,0)</f>
        <v>МСК+7</v>
      </c>
    </row>
    <row r="215" spans="1:13" ht="42" thickBot="1" x14ac:dyDescent="0.35">
      <c r="A215" s="1" t="s">
        <v>1443</v>
      </c>
      <c r="B215" s="1">
        <v>690</v>
      </c>
      <c r="C215" s="1" t="s">
        <v>1444</v>
      </c>
      <c r="D215" s="2" t="s">
        <v>1445</v>
      </c>
      <c r="E215" s="1" t="s">
        <v>29</v>
      </c>
      <c r="F215" s="1" t="s">
        <v>114</v>
      </c>
      <c r="G215" s="1" t="s">
        <v>322</v>
      </c>
      <c r="H215" s="1" t="s">
        <v>1407</v>
      </c>
      <c r="I215" s="1" t="s">
        <v>1447</v>
      </c>
      <c r="J215" s="2" t="s">
        <v>1448</v>
      </c>
      <c r="K215" s="2" t="s">
        <v>1449</v>
      </c>
      <c r="L215" s="2" t="s">
        <v>1446</v>
      </c>
      <c r="M215" s="3" t="str">
        <f>VLOOKUP(G215,справочник!$B$1:$C$94,2,0)</f>
        <v>МСК+7</v>
      </c>
    </row>
    <row r="216" spans="1:13" ht="42" thickBot="1" x14ac:dyDescent="0.35">
      <c r="A216" s="1" t="s">
        <v>146</v>
      </c>
      <c r="B216" s="1">
        <v>2488</v>
      </c>
      <c r="C216" s="1" t="s">
        <v>1450</v>
      </c>
      <c r="D216" s="2" t="s">
        <v>1451</v>
      </c>
      <c r="E216" s="1" t="s">
        <v>20</v>
      </c>
      <c r="F216" s="1" t="s">
        <v>114</v>
      </c>
      <c r="G216" s="1" t="s">
        <v>308</v>
      </c>
      <c r="H216" s="1" t="s">
        <v>1452</v>
      </c>
      <c r="I216" s="1" t="s">
        <v>1453</v>
      </c>
      <c r="J216" s="2" t="s">
        <v>92</v>
      </c>
      <c r="K216" s="2" t="s">
        <v>92</v>
      </c>
      <c r="L216" s="2" t="s">
        <v>92</v>
      </c>
      <c r="M216" s="3" t="str">
        <f>VLOOKUP(G216,справочник!$B$1:$C$94,2,0)</f>
        <v>МСК+6</v>
      </c>
    </row>
    <row r="217" spans="1:13" ht="42" thickBot="1" x14ac:dyDescent="0.35">
      <c r="A217" s="1" t="s">
        <v>12</v>
      </c>
      <c r="B217" s="1">
        <v>3165</v>
      </c>
      <c r="C217" s="1" t="s">
        <v>1454</v>
      </c>
      <c r="D217" s="2" t="s">
        <v>1455</v>
      </c>
      <c r="E217" s="1" t="s">
        <v>29</v>
      </c>
      <c r="F217" s="1" t="s">
        <v>114</v>
      </c>
      <c r="G217" s="1" t="s">
        <v>121</v>
      </c>
      <c r="H217" s="1" t="s">
        <v>122</v>
      </c>
      <c r="I217" s="1" t="s">
        <v>1456</v>
      </c>
      <c r="J217" s="2" t="s">
        <v>1457</v>
      </c>
      <c r="K217" s="2" t="s">
        <v>1458</v>
      </c>
      <c r="L217" s="2" t="s">
        <v>1459</v>
      </c>
      <c r="M217" s="3" t="str">
        <f>VLOOKUP(G217,справочник!$B$1:$C$94,2,0)</f>
        <v>МСК+7</v>
      </c>
    </row>
    <row r="218" spans="1:13" ht="42" thickBot="1" x14ac:dyDescent="0.35">
      <c r="A218" s="1" t="s">
        <v>146</v>
      </c>
      <c r="B218" s="1">
        <v>2231</v>
      </c>
      <c r="C218" s="1" t="s">
        <v>1460</v>
      </c>
      <c r="D218" s="2" t="s">
        <v>1461</v>
      </c>
      <c r="E218" s="1" t="s">
        <v>20</v>
      </c>
      <c r="F218" s="1" t="s">
        <v>114</v>
      </c>
      <c r="G218" s="1" t="s">
        <v>308</v>
      </c>
      <c r="H218" s="1" t="s">
        <v>309</v>
      </c>
      <c r="I218" s="1" t="s">
        <v>1462</v>
      </c>
      <c r="J218" s="2" t="s">
        <v>1463</v>
      </c>
      <c r="K218" s="2" t="s">
        <v>1464</v>
      </c>
      <c r="L218" s="2" t="s">
        <v>1465</v>
      </c>
      <c r="M218" s="3" t="str">
        <f>VLOOKUP(G218,справочник!$B$1:$C$94,2,0)</f>
        <v>МСК+6</v>
      </c>
    </row>
    <row r="219" spans="1:13" ht="42" thickBot="1" x14ac:dyDescent="0.35">
      <c r="A219" s="1" t="s">
        <v>146</v>
      </c>
      <c r="B219" s="1">
        <v>317</v>
      </c>
      <c r="C219" s="1" t="s">
        <v>1466</v>
      </c>
      <c r="D219" s="2" t="s">
        <v>1467</v>
      </c>
      <c r="E219" s="1" t="s">
        <v>29</v>
      </c>
      <c r="F219" s="1" t="s">
        <v>114</v>
      </c>
      <c r="G219" s="1" t="s">
        <v>121</v>
      </c>
      <c r="H219" s="1" t="s">
        <v>1468</v>
      </c>
      <c r="I219" s="1" t="s">
        <v>1469</v>
      </c>
      <c r="J219" s="2" t="s">
        <v>1470</v>
      </c>
      <c r="K219" s="2" t="s">
        <v>1471</v>
      </c>
      <c r="L219" s="2" t="s">
        <v>1472</v>
      </c>
      <c r="M219" s="3" t="str">
        <f>VLOOKUP(G219,справочник!$B$1:$C$94,2,0)</f>
        <v>МСК+7</v>
      </c>
    </row>
    <row r="220" spans="1:13" ht="42" thickBot="1" x14ac:dyDescent="0.35">
      <c r="A220" s="1" t="s">
        <v>261</v>
      </c>
      <c r="B220" s="1">
        <v>4048</v>
      </c>
      <c r="C220" s="1" t="s">
        <v>1474</v>
      </c>
      <c r="D220" s="2" t="s">
        <v>1475</v>
      </c>
      <c r="E220" s="1" t="s">
        <v>29</v>
      </c>
      <c r="F220" s="1" t="s">
        <v>21</v>
      </c>
      <c r="G220" s="1" t="s">
        <v>1476</v>
      </c>
      <c r="H220" s="1" t="s">
        <v>1477</v>
      </c>
      <c r="I220" s="1" t="s">
        <v>1478</v>
      </c>
      <c r="J220" s="2" t="s">
        <v>1479</v>
      </c>
      <c r="K220" s="2" t="s">
        <v>1480</v>
      </c>
      <c r="L220" s="2" t="s">
        <v>1481</v>
      </c>
      <c r="M220" s="3" t="str">
        <f>VLOOKUP(G220,справочник!$B$1:$C$94,2,0)</f>
        <v>МСК</v>
      </c>
    </row>
    <row r="221" spans="1:13" ht="42" thickBot="1" x14ac:dyDescent="0.35">
      <c r="A221" s="1" t="s">
        <v>146</v>
      </c>
      <c r="B221" s="1">
        <v>3963</v>
      </c>
      <c r="C221" s="1" t="s">
        <v>1482</v>
      </c>
      <c r="D221" s="2" t="s">
        <v>1483</v>
      </c>
      <c r="E221" s="1" t="s">
        <v>29</v>
      </c>
      <c r="F221" s="1" t="s">
        <v>21</v>
      </c>
      <c r="G221" s="1" t="s">
        <v>1484</v>
      </c>
      <c r="H221" s="1" t="s">
        <v>1485</v>
      </c>
      <c r="I221" s="1" t="s">
        <v>1486</v>
      </c>
      <c r="J221" s="2" t="s">
        <v>1487</v>
      </c>
      <c r="K221" s="2" t="s">
        <v>1488</v>
      </c>
      <c r="L221" s="2" t="s">
        <v>1489</v>
      </c>
      <c r="M221" s="3" t="str">
        <f>VLOOKUP(G221,справочник!$B$1:$C$94,2,0)</f>
        <v>МСК</v>
      </c>
    </row>
    <row r="222" spans="1:13" ht="42" thickBot="1" x14ac:dyDescent="0.35">
      <c r="A222" s="1" t="s">
        <v>887</v>
      </c>
      <c r="B222" s="1">
        <v>4046</v>
      </c>
      <c r="C222" s="1" t="s">
        <v>1490</v>
      </c>
      <c r="D222" s="2" t="s">
        <v>1491</v>
      </c>
      <c r="E222" s="1" t="s">
        <v>29</v>
      </c>
      <c r="F222" s="1" t="s">
        <v>21</v>
      </c>
      <c r="G222" s="1" t="s">
        <v>1476</v>
      </c>
      <c r="H222" s="1" t="s">
        <v>1492</v>
      </c>
      <c r="I222" s="1" t="s">
        <v>1493</v>
      </c>
      <c r="J222" s="2" t="s">
        <v>1494</v>
      </c>
      <c r="K222" s="2" t="s">
        <v>1495</v>
      </c>
      <c r="L222" s="2" t="s">
        <v>1496</v>
      </c>
      <c r="M222" s="3" t="str">
        <f>VLOOKUP(G222,справочник!$B$1:$C$94,2,0)</f>
        <v>МСК</v>
      </c>
    </row>
    <row r="223" spans="1:13" ht="42" thickBot="1" x14ac:dyDescent="0.35">
      <c r="A223" s="1" t="s">
        <v>12</v>
      </c>
      <c r="B223" s="1">
        <v>7524</v>
      </c>
      <c r="C223" s="1" t="s">
        <v>1497</v>
      </c>
      <c r="D223" s="2" t="s">
        <v>1498</v>
      </c>
      <c r="E223" s="1" t="s">
        <v>29</v>
      </c>
      <c r="F223" s="1" t="s">
        <v>21</v>
      </c>
      <c r="G223" s="1" t="s">
        <v>1476</v>
      </c>
      <c r="H223" s="1" t="s">
        <v>1492</v>
      </c>
      <c r="I223" s="1" t="s">
        <v>1499</v>
      </c>
      <c r="J223" s="2" t="s">
        <v>1500</v>
      </c>
      <c r="K223" s="2" t="s">
        <v>1501</v>
      </c>
      <c r="L223" s="2" t="s">
        <v>1502</v>
      </c>
      <c r="M223" s="3" t="str">
        <f>VLOOKUP(G223,справочник!$B$1:$C$94,2,0)</f>
        <v>МСК</v>
      </c>
    </row>
    <row r="224" spans="1:13" ht="28.2" thickBot="1" x14ac:dyDescent="0.35">
      <c r="A224" s="1" t="s">
        <v>177</v>
      </c>
      <c r="B224" s="1">
        <v>4065</v>
      </c>
      <c r="C224" s="1" t="s">
        <v>1503</v>
      </c>
      <c r="D224" s="2" t="s">
        <v>1504</v>
      </c>
      <c r="E224" s="1" t="s">
        <v>29</v>
      </c>
      <c r="F224" s="1" t="s">
        <v>21</v>
      </c>
      <c r="G224" s="1" t="s">
        <v>1476</v>
      </c>
      <c r="H224" s="1" t="s">
        <v>1492</v>
      </c>
      <c r="I224" s="1" t="s">
        <v>1505</v>
      </c>
      <c r="J224" s="2" t="s">
        <v>1506</v>
      </c>
      <c r="K224" s="2" t="s">
        <v>1507</v>
      </c>
      <c r="L224" s="2" t="s">
        <v>1508</v>
      </c>
      <c r="M224" s="3" t="str">
        <f>VLOOKUP(G224,справочник!$B$1:$C$94,2,0)</f>
        <v>МСК</v>
      </c>
    </row>
    <row r="225" spans="1:13" ht="42" thickBot="1" x14ac:dyDescent="0.35">
      <c r="A225" s="1" t="s">
        <v>146</v>
      </c>
      <c r="B225" s="1">
        <v>4035</v>
      </c>
      <c r="C225" s="1" t="s">
        <v>1509</v>
      </c>
      <c r="D225" s="2" t="s">
        <v>1510</v>
      </c>
      <c r="E225" s="1" t="s">
        <v>20</v>
      </c>
      <c r="F225" s="1" t="s">
        <v>21</v>
      </c>
      <c r="G225" s="1" t="s">
        <v>1476</v>
      </c>
      <c r="H225" s="1" t="s">
        <v>1492</v>
      </c>
      <c r="I225" s="1" t="s">
        <v>1511</v>
      </c>
      <c r="J225" s="2" t="s">
        <v>1512</v>
      </c>
      <c r="K225" s="2" t="s">
        <v>1513</v>
      </c>
      <c r="L225" s="2" t="s">
        <v>1514</v>
      </c>
      <c r="M225" s="3" t="str">
        <f>VLOOKUP(G225,справочник!$B$1:$C$94,2,0)</f>
        <v>МСК</v>
      </c>
    </row>
    <row r="226" spans="1:13" ht="42" thickBot="1" x14ac:dyDescent="0.35">
      <c r="A226" s="1" t="s">
        <v>131</v>
      </c>
      <c r="B226" s="1">
        <v>4063</v>
      </c>
      <c r="C226" s="1" t="s">
        <v>1515</v>
      </c>
      <c r="D226" s="2" t="s">
        <v>1516</v>
      </c>
      <c r="E226" s="1" t="s">
        <v>29</v>
      </c>
      <c r="F226" s="1" t="s">
        <v>21</v>
      </c>
      <c r="G226" s="1" t="s">
        <v>1476</v>
      </c>
      <c r="H226" s="1" t="s">
        <v>1492</v>
      </c>
      <c r="I226" s="1" t="s">
        <v>1517</v>
      </c>
      <c r="J226" s="2" t="s">
        <v>1518</v>
      </c>
      <c r="K226" s="2" t="s">
        <v>1519</v>
      </c>
      <c r="L226" s="2" t="s">
        <v>1520</v>
      </c>
      <c r="M226" s="3" t="str">
        <f>VLOOKUP(G226,справочник!$B$1:$C$94,2,0)</f>
        <v>МСК</v>
      </c>
    </row>
    <row r="227" spans="1:13" ht="42" thickBot="1" x14ac:dyDescent="0.35">
      <c r="A227" s="1" t="s">
        <v>168</v>
      </c>
      <c r="B227" s="1">
        <v>4107</v>
      </c>
      <c r="C227" s="1" t="s">
        <v>1521</v>
      </c>
      <c r="D227" s="2" t="s">
        <v>1522</v>
      </c>
      <c r="E227" s="1" t="s">
        <v>29</v>
      </c>
      <c r="F227" s="1" t="s">
        <v>21</v>
      </c>
      <c r="G227" s="1" t="s">
        <v>1476</v>
      </c>
      <c r="H227" s="1" t="s">
        <v>1524</v>
      </c>
      <c r="I227" s="1" t="s">
        <v>1525</v>
      </c>
      <c r="J227" s="2" t="s">
        <v>1526</v>
      </c>
      <c r="K227" s="2" t="s">
        <v>1527</v>
      </c>
      <c r="L227" s="2" t="s">
        <v>1523</v>
      </c>
      <c r="M227" s="3" t="str">
        <f>VLOOKUP(G227,справочник!$B$1:$C$94,2,0)</f>
        <v>МСК</v>
      </c>
    </row>
    <row r="228" spans="1:13" ht="42" thickBot="1" x14ac:dyDescent="0.35">
      <c r="A228" s="1" t="s">
        <v>146</v>
      </c>
      <c r="B228" s="1">
        <v>4070</v>
      </c>
      <c r="C228" s="1" t="s">
        <v>1528</v>
      </c>
      <c r="D228" s="2" t="s">
        <v>1529</v>
      </c>
      <c r="E228" s="1" t="s">
        <v>29</v>
      </c>
      <c r="F228" s="1" t="s">
        <v>21</v>
      </c>
      <c r="G228" s="1" t="s">
        <v>1476</v>
      </c>
      <c r="H228" s="1" t="s">
        <v>1492</v>
      </c>
      <c r="I228" s="1" t="s">
        <v>1530</v>
      </c>
      <c r="J228" s="2" t="s">
        <v>1531</v>
      </c>
      <c r="K228" s="2" t="s">
        <v>1532</v>
      </c>
      <c r="L228" s="2" t="s">
        <v>1533</v>
      </c>
      <c r="M228" s="3" t="str">
        <f>VLOOKUP(G228,справочник!$B$1:$C$94,2,0)</f>
        <v>МСК</v>
      </c>
    </row>
    <row r="229" spans="1:13" ht="97.2" thickBot="1" x14ac:dyDescent="0.35">
      <c r="A229" s="1" t="s">
        <v>33</v>
      </c>
      <c r="B229" s="1">
        <v>7318</v>
      </c>
      <c r="C229" s="1" t="s">
        <v>1534</v>
      </c>
      <c r="D229" s="2" t="s">
        <v>1535</v>
      </c>
      <c r="E229" s="1" t="s">
        <v>29</v>
      </c>
      <c r="F229" s="1" t="s">
        <v>21</v>
      </c>
      <c r="G229" s="1" t="s">
        <v>1476</v>
      </c>
      <c r="H229" s="1" t="s">
        <v>1536</v>
      </c>
      <c r="I229" s="1" t="s">
        <v>1537</v>
      </c>
      <c r="J229" s="2" t="s">
        <v>1538</v>
      </c>
      <c r="K229" s="2" t="s">
        <v>1539</v>
      </c>
      <c r="L229" s="2" t="s">
        <v>1540</v>
      </c>
      <c r="M229" s="3" t="str">
        <f>VLOOKUP(G229,справочник!$B$1:$C$94,2,0)</f>
        <v>МСК</v>
      </c>
    </row>
    <row r="230" spans="1:13" ht="42" thickBot="1" x14ac:dyDescent="0.35">
      <c r="A230" s="1" t="s">
        <v>1443</v>
      </c>
      <c r="B230" s="1">
        <v>4047</v>
      </c>
      <c r="C230" s="1" t="s">
        <v>1541</v>
      </c>
      <c r="D230" s="2" t="s">
        <v>1542</v>
      </c>
      <c r="E230" s="1" t="s">
        <v>29</v>
      </c>
      <c r="F230" s="1" t="s">
        <v>21</v>
      </c>
      <c r="G230" s="1" t="s">
        <v>1476</v>
      </c>
      <c r="H230" s="1" t="s">
        <v>1492</v>
      </c>
      <c r="I230" s="1" t="s">
        <v>1543</v>
      </c>
      <c r="J230" s="2" t="s">
        <v>1544</v>
      </c>
      <c r="K230" s="2" t="s">
        <v>1545</v>
      </c>
      <c r="L230" s="2" t="s">
        <v>1546</v>
      </c>
      <c r="M230" s="3" t="str">
        <f>VLOOKUP(G230,справочник!$B$1:$C$94,2,0)</f>
        <v>МСК</v>
      </c>
    </row>
    <row r="231" spans="1:13" ht="42" thickBot="1" x14ac:dyDescent="0.35">
      <c r="A231" s="1" t="s">
        <v>146</v>
      </c>
      <c r="B231" s="1">
        <v>4037</v>
      </c>
      <c r="C231" s="1" t="s">
        <v>1547</v>
      </c>
      <c r="D231" s="2" t="s">
        <v>1548</v>
      </c>
      <c r="E231" s="1" t="s">
        <v>29</v>
      </c>
      <c r="F231" s="1" t="s">
        <v>21</v>
      </c>
      <c r="G231" s="1" t="s">
        <v>1476</v>
      </c>
      <c r="H231" s="1" t="s">
        <v>1492</v>
      </c>
      <c r="I231" s="1" t="s">
        <v>1549</v>
      </c>
      <c r="J231" s="2" t="s">
        <v>1550</v>
      </c>
      <c r="K231" s="2" t="s">
        <v>1551</v>
      </c>
      <c r="L231" s="2" t="s">
        <v>1552</v>
      </c>
      <c r="M231" s="3" t="str">
        <f>VLOOKUP(G231,справочник!$B$1:$C$94,2,0)</f>
        <v>МСК</v>
      </c>
    </row>
    <row r="232" spans="1:13" ht="42" thickBot="1" x14ac:dyDescent="0.35">
      <c r="A232" s="1" t="s">
        <v>146</v>
      </c>
      <c r="B232" s="1">
        <v>4024</v>
      </c>
      <c r="C232" s="1" t="s">
        <v>1553</v>
      </c>
      <c r="D232" s="2" t="s">
        <v>1554</v>
      </c>
      <c r="E232" s="1" t="s">
        <v>20</v>
      </c>
      <c r="F232" s="1" t="s">
        <v>21</v>
      </c>
      <c r="G232" s="1" t="s">
        <v>1476</v>
      </c>
      <c r="H232" s="1" t="s">
        <v>1492</v>
      </c>
      <c r="I232" s="1" t="s">
        <v>1555</v>
      </c>
      <c r="J232" s="2" t="s">
        <v>1556</v>
      </c>
      <c r="K232" s="2" t="s">
        <v>1557</v>
      </c>
      <c r="L232" s="2" t="s">
        <v>1558</v>
      </c>
      <c r="M232" s="3" t="str">
        <f>VLOOKUP(G232,справочник!$B$1:$C$94,2,0)</f>
        <v>МСК</v>
      </c>
    </row>
    <row r="233" spans="1:13" ht="42" thickBot="1" x14ac:dyDescent="0.35">
      <c r="A233" s="1" t="s">
        <v>261</v>
      </c>
      <c r="B233" s="1">
        <v>730</v>
      </c>
      <c r="C233" s="1" t="s">
        <v>1559</v>
      </c>
      <c r="D233" s="2" t="s">
        <v>1560</v>
      </c>
      <c r="E233" s="1" t="s">
        <v>29</v>
      </c>
      <c r="F233" s="1" t="s">
        <v>21</v>
      </c>
      <c r="G233" s="1" t="s">
        <v>22</v>
      </c>
      <c r="H233" s="1" t="s">
        <v>1562</v>
      </c>
      <c r="I233" s="1" t="s">
        <v>1563</v>
      </c>
      <c r="J233" s="2" t="s">
        <v>1564</v>
      </c>
      <c r="K233" s="2" t="s">
        <v>1565</v>
      </c>
      <c r="L233" s="2" t="s">
        <v>1561</v>
      </c>
      <c r="M233" s="3" t="str">
        <f>VLOOKUP(G233,справочник!$B$1:$C$94,2,0)</f>
        <v>МСК</v>
      </c>
    </row>
    <row r="234" spans="1:13" ht="42" thickBot="1" x14ac:dyDescent="0.35">
      <c r="A234" s="1" t="s">
        <v>146</v>
      </c>
      <c r="B234" s="1">
        <v>55</v>
      </c>
      <c r="C234" s="1" t="s">
        <v>1566</v>
      </c>
      <c r="D234" s="2" t="s">
        <v>1567</v>
      </c>
      <c r="E234" s="1" t="s">
        <v>29</v>
      </c>
      <c r="F234" s="1" t="s">
        <v>21</v>
      </c>
      <c r="G234" s="1" t="s">
        <v>22</v>
      </c>
      <c r="H234" s="1" t="s">
        <v>23</v>
      </c>
      <c r="I234" s="1" t="s">
        <v>1569</v>
      </c>
      <c r="J234" s="2" t="s">
        <v>1570</v>
      </c>
      <c r="K234" s="2" t="s">
        <v>1571</v>
      </c>
      <c r="L234" s="2" t="s">
        <v>1568</v>
      </c>
      <c r="M234" s="3" t="str">
        <f>VLOOKUP(G234,справочник!$B$1:$C$94,2,0)</f>
        <v>МСК</v>
      </c>
    </row>
    <row r="235" spans="1:13" ht="28.2" thickBot="1" x14ac:dyDescent="0.35">
      <c r="A235" s="1" t="s">
        <v>12</v>
      </c>
      <c r="B235" s="1">
        <v>914</v>
      </c>
      <c r="C235" s="1" t="s">
        <v>1573</v>
      </c>
      <c r="D235" s="2" t="s">
        <v>1574</v>
      </c>
      <c r="E235" s="1" t="s">
        <v>29</v>
      </c>
      <c r="F235" s="1" t="s">
        <v>14</v>
      </c>
      <c r="G235" s="1" t="s">
        <v>15</v>
      </c>
      <c r="H235" s="1" t="s">
        <v>16</v>
      </c>
      <c r="I235" s="1" t="s">
        <v>1575</v>
      </c>
      <c r="J235" s="2" t="s">
        <v>1576</v>
      </c>
      <c r="K235" s="2" t="s">
        <v>1577</v>
      </c>
      <c r="L235" s="2" t="s">
        <v>1578</v>
      </c>
      <c r="M235" s="3" t="str">
        <f>VLOOKUP(G235,справочник!$B$1:$C$94,2,0)</f>
        <v>МСК</v>
      </c>
    </row>
    <row r="236" spans="1:13" ht="28.2" thickBot="1" x14ac:dyDescent="0.35">
      <c r="A236" s="1" t="s">
        <v>12</v>
      </c>
      <c r="B236" s="1">
        <v>3281</v>
      </c>
      <c r="C236" s="1" t="s">
        <v>1579</v>
      </c>
      <c r="D236" s="2" t="s">
        <v>1580</v>
      </c>
      <c r="E236" s="1" t="s">
        <v>29</v>
      </c>
      <c r="F236" s="1" t="s">
        <v>30</v>
      </c>
      <c r="G236" s="1" t="s">
        <v>31</v>
      </c>
      <c r="H236" s="1" t="s">
        <v>32</v>
      </c>
      <c r="I236" s="1" t="s">
        <v>1581</v>
      </c>
      <c r="J236" s="2" t="s">
        <v>1582</v>
      </c>
      <c r="K236" s="2" t="s">
        <v>1583</v>
      </c>
      <c r="L236" s="2" t="s">
        <v>1584</v>
      </c>
      <c r="M236" s="3" t="str">
        <f>VLOOKUP(G236,справочник!$B$1:$C$94,2,0)</f>
        <v>МСК</v>
      </c>
    </row>
    <row r="237" spans="1:13" ht="28.2" thickBot="1" x14ac:dyDescent="0.35">
      <c r="A237" s="1" t="s">
        <v>54</v>
      </c>
      <c r="B237" s="1">
        <v>3345</v>
      </c>
      <c r="C237" s="1" t="s">
        <v>1585</v>
      </c>
      <c r="D237" s="2" t="s">
        <v>1586</v>
      </c>
      <c r="E237" s="1" t="s">
        <v>29</v>
      </c>
      <c r="F237" s="1" t="s">
        <v>47</v>
      </c>
      <c r="G237" s="1" t="s">
        <v>48</v>
      </c>
      <c r="H237" s="1" t="s">
        <v>49</v>
      </c>
      <c r="I237" s="1" t="s">
        <v>1588</v>
      </c>
      <c r="J237" s="2" t="s">
        <v>1589</v>
      </c>
      <c r="K237" s="2" t="s">
        <v>1590</v>
      </c>
      <c r="L237" s="2" t="s">
        <v>1587</v>
      </c>
      <c r="M237" s="3" t="str">
        <f>VLOOKUP(G237,справочник!$B$1:$C$94,2,0)</f>
        <v>МСК+2</v>
      </c>
    </row>
    <row r="238" spans="1:13" ht="42" thickBot="1" x14ac:dyDescent="0.35">
      <c r="A238" s="1" t="s">
        <v>177</v>
      </c>
      <c r="B238" s="1">
        <v>538</v>
      </c>
      <c r="C238" s="1" t="s">
        <v>1591</v>
      </c>
      <c r="D238" s="2" t="s">
        <v>1592</v>
      </c>
      <c r="E238" s="1" t="s">
        <v>29</v>
      </c>
      <c r="F238" s="1" t="s">
        <v>47</v>
      </c>
      <c r="G238" s="1" t="s">
        <v>48</v>
      </c>
      <c r="H238" s="1" t="s">
        <v>49</v>
      </c>
      <c r="I238" s="1" t="s">
        <v>1593</v>
      </c>
      <c r="J238" s="2" t="s">
        <v>1594</v>
      </c>
      <c r="K238" s="2" t="s">
        <v>1595</v>
      </c>
      <c r="L238" s="2" t="s">
        <v>1596</v>
      </c>
      <c r="M238" s="3" t="str">
        <f>VLOOKUP(G238,справочник!$B$1:$C$94,2,0)</f>
        <v>МСК+2</v>
      </c>
    </row>
    <row r="239" spans="1:13" ht="42" thickBot="1" x14ac:dyDescent="0.35">
      <c r="A239" s="1" t="s">
        <v>17</v>
      </c>
      <c r="B239" s="1">
        <v>3595</v>
      </c>
      <c r="C239" s="1" t="s">
        <v>1597</v>
      </c>
      <c r="D239" s="2" t="s">
        <v>1598</v>
      </c>
      <c r="E239" s="1" t="s">
        <v>104</v>
      </c>
      <c r="F239" s="1" t="s">
        <v>47</v>
      </c>
      <c r="G239" s="1" t="s">
        <v>48</v>
      </c>
      <c r="H239" s="1" t="s">
        <v>49</v>
      </c>
      <c r="I239" s="1" t="s">
        <v>1600</v>
      </c>
      <c r="J239" s="2" t="s">
        <v>481</v>
      </c>
      <c r="K239" s="2" t="s">
        <v>1601</v>
      </c>
      <c r="L239" s="2" t="s">
        <v>1599</v>
      </c>
      <c r="M239" s="3" t="str">
        <f>VLOOKUP(G239,справочник!$B$1:$C$94,2,0)</f>
        <v>МСК+2</v>
      </c>
    </row>
    <row r="240" spans="1:13" ht="42" thickBot="1" x14ac:dyDescent="0.35">
      <c r="A240" s="1" t="s">
        <v>12</v>
      </c>
      <c r="B240" s="1">
        <v>7513</v>
      </c>
      <c r="C240" s="1" t="s">
        <v>1602</v>
      </c>
      <c r="D240" s="2" t="s">
        <v>1603</v>
      </c>
      <c r="E240" s="1" t="s">
        <v>29</v>
      </c>
      <c r="F240" s="1" t="s">
        <v>21</v>
      </c>
      <c r="G240" s="1" t="s">
        <v>199</v>
      </c>
      <c r="H240" s="1" t="s">
        <v>200</v>
      </c>
      <c r="I240" s="1" t="s">
        <v>1605</v>
      </c>
      <c r="J240" s="2" t="s">
        <v>481</v>
      </c>
      <c r="K240" s="2" t="s">
        <v>1606</v>
      </c>
      <c r="L240" s="2" t="s">
        <v>1604</v>
      </c>
      <c r="M240" s="3" t="str">
        <f>VLOOKUP(G240,справочник!$B$1:$C$94,2,0)</f>
        <v>МСК</v>
      </c>
    </row>
    <row r="241" spans="1:13" ht="42" thickBot="1" x14ac:dyDescent="0.35">
      <c r="A241" s="1" t="s">
        <v>146</v>
      </c>
      <c r="B241" s="1">
        <v>56</v>
      </c>
      <c r="C241" s="1" t="s">
        <v>1607</v>
      </c>
      <c r="D241" s="2" t="s">
        <v>1608</v>
      </c>
      <c r="E241" s="1" t="s">
        <v>29</v>
      </c>
      <c r="F241" s="1" t="s">
        <v>14</v>
      </c>
      <c r="G241" s="1" t="s">
        <v>1609</v>
      </c>
      <c r="H241" s="1" t="s">
        <v>1611</v>
      </c>
      <c r="I241" s="1" t="s">
        <v>1612</v>
      </c>
      <c r="J241" s="2" t="s">
        <v>334</v>
      </c>
      <c r="K241" s="2" t="s">
        <v>1613</v>
      </c>
      <c r="L241" s="2" t="s">
        <v>1610</v>
      </c>
      <c r="M241" s="3" t="str">
        <f>VLOOKUP(G241,справочник!$B$1:$C$94,2,0)</f>
        <v>МСК</v>
      </c>
    </row>
    <row r="242" spans="1:13" ht="42" thickBot="1" x14ac:dyDescent="0.35">
      <c r="A242" s="1" t="s">
        <v>12</v>
      </c>
      <c r="B242" s="1">
        <v>3159</v>
      </c>
      <c r="C242" s="1" t="s">
        <v>1614</v>
      </c>
      <c r="D242" s="2" t="s">
        <v>1615</v>
      </c>
      <c r="E242" s="1" t="s">
        <v>29</v>
      </c>
      <c r="F242" s="1" t="s">
        <v>109</v>
      </c>
      <c r="G242" s="1" t="s">
        <v>110</v>
      </c>
      <c r="H242" s="1" t="s">
        <v>1616</v>
      </c>
      <c r="I242" s="1" t="s">
        <v>1617</v>
      </c>
      <c r="J242" s="2" t="s">
        <v>1618</v>
      </c>
      <c r="K242" s="2" t="s">
        <v>1619</v>
      </c>
      <c r="L242" s="2" t="s">
        <v>1620</v>
      </c>
      <c r="M242" s="3" t="str">
        <f>VLOOKUP(G242,справочник!$B$1:$C$94,2,0)</f>
        <v>МСК</v>
      </c>
    </row>
    <row r="243" spans="1:13" ht="42" thickBot="1" x14ac:dyDescent="0.35">
      <c r="A243" s="1" t="s">
        <v>146</v>
      </c>
      <c r="B243" s="1">
        <v>242</v>
      </c>
      <c r="C243" s="1" t="s">
        <v>1621</v>
      </c>
      <c r="D243" s="2" t="s">
        <v>1622</v>
      </c>
      <c r="E243" s="1" t="s">
        <v>29</v>
      </c>
      <c r="F243" s="1" t="s">
        <v>114</v>
      </c>
      <c r="G243" s="1" t="s">
        <v>1623</v>
      </c>
      <c r="H243" s="1" t="s">
        <v>1624</v>
      </c>
      <c r="I243" s="1" t="s">
        <v>1625</v>
      </c>
      <c r="J243" s="2" t="s">
        <v>1626</v>
      </c>
      <c r="K243" s="2" t="s">
        <v>1627</v>
      </c>
      <c r="L243" s="2" t="s">
        <v>1628</v>
      </c>
      <c r="M243" s="3" t="str">
        <f>VLOOKUP(G243,справочник!$B$1:$C$94,2,0)</f>
        <v>МСК+6</v>
      </c>
    </row>
    <row r="244" spans="1:13" ht="42" thickBot="1" x14ac:dyDescent="0.35">
      <c r="A244" s="1" t="s">
        <v>12</v>
      </c>
      <c r="B244" s="1">
        <v>3883</v>
      </c>
      <c r="C244" s="1" t="s">
        <v>1629</v>
      </c>
      <c r="D244" s="2" t="s">
        <v>1630</v>
      </c>
      <c r="E244" s="1" t="s">
        <v>29</v>
      </c>
      <c r="F244" s="1" t="s">
        <v>14</v>
      </c>
      <c r="G244" s="1" t="s">
        <v>1631</v>
      </c>
      <c r="H244" s="1" t="s">
        <v>1632</v>
      </c>
      <c r="I244" s="1" t="s">
        <v>1633</v>
      </c>
      <c r="J244" s="2" t="s">
        <v>1634</v>
      </c>
      <c r="K244" s="2" t="s">
        <v>1635</v>
      </c>
      <c r="L244" s="2" t="s">
        <v>1636</v>
      </c>
      <c r="M244" s="3" t="str">
        <f>VLOOKUP(G244,справочник!$B$1:$C$94,2,0)</f>
        <v>МСК</v>
      </c>
    </row>
    <row r="245" spans="1:13" ht="42" thickBot="1" x14ac:dyDescent="0.35">
      <c r="A245" s="1" t="s">
        <v>146</v>
      </c>
      <c r="B245" s="1">
        <v>133</v>
      </c>
      <c r="C245" s="1" t="s">
        <v>1639</v>
      </c>
      <c r="D245" s="2" t="s">
        <v>1640</v>
      </c>
      <c r="E245" s="1" t="s">
        <v>29</v>
      </c>
      <c r="F245" s="1" t="s">
        <v>36</v>
      </c>
      <c r="G245" s="1" t="s">
        <v>37</v>
      </c>
      <c r="H245" s="1" t="s">
        <v>1641</v>
      </c>
      <c r="I245" s="1" t="s">
        <v>1642</v>
      </c>
      <c r="J245" s="2" t="s">
        <v>1643</v>
      </c>
      <c r="K245" s="2" t="s">
        <v>1644</v>
      </c>
      <c r="L245" s="2" t="s">
        <v>1645</v>
      </c>
      <c r="M245" s="3" t="str">
        <f>VLOOKUP(G245,справочник!$B$1:$C$94,2,0)</f>
        <v>МСК+4</v>
      </c>
    </row>
    <row r="246" spans="1:13" ht="42" thickBot="1" x14ac:dyDescent="0.35">
      <c r="A246" s="1" t="s">
        <v>146</v>
      </c>
      <c r="B246" s="1">
        <v>2394</v>
      </c>
      <c r="C246" s="1" t="s">
        <v>1646</v>
      </c>
      <c r="D246" s="2" t="s">
        <v>1647</v>
      </c>
      <c r="E246" s="1" t="s">
        <v>20</v>
      </c>
      <c r="F246" s="1" t="s">
        <v>30</v>
      </c>
      <c r="G246" s="1" t="s">
        <v>31</v>
      </c>
      <c r="H246" s="1" t="s">
        <v>1649</v>
      </c>
      <c r="I246" s="1" t="s">
        <v>1650</v>
      </c>
      <c r="J246" s="2" t="s">
        <v>878</v>
      </c>
      <c r="K246" s="2" t="s">
        <v>1651</v>
      </c>
      <c r="L246" s="2" t="s">
        <v>1648</v>
      </c>
      <c r="M246" s="3" t="str">
        <f>VLOOKUP(G246,справочник!$B$1:$C$94,2,0)</f>
        <v>МСК</v>
      </c>
    </row>
    <row r="247" spans="1:13" ht="42" thickBot="1" x14ac:dyDescent="0.35">
      <c r="A247" s="1" t="s">
        <v>146</v>
      </c>
      <c r="B247" s="1">
        <v>331</v>
      </c>
      <c r="C247" s="1" t="s">
        <v>1652</v>
      </c>
      <c r="D247" s="2" t="s">
        <v>1653</v>
      </c>
      <c r="E247" s="1" t="s">
        <v>29</v>
      </c>
      <c r="F247" s="1" t="s">
        <v>14</v>
      </c>
      <c r="G247" s="1" t="s">
        <v>632</v>
      </c>
      <c r="H247" s="1" t="s">
        <v>634</v>
      </c>
      <c r="I247" s="1" t="s">
        <v>1655</v>
      </c>
      <c r="J247" s="2" t="s">
        <v>1656</v>
      </c>
      <c r="K247" s="2" t="s">
        <v>1657</v>
      </c>
      <c r="L247" s="2" t="s">
        <v>1654</v>
      </c>
      <c r="M247" s="3" t="str">
        <f>VLOOKUP(G247,справочник!$B$1:$C$94,2,0)</f>
        <v>МСК</v>
      </c>
    </row>
    <row r="248" spans="1:13" ht="83.4" thickBot="1" x14ac:dyDescent="0.35">
      <c r="A248" s="1" t="s">
        <v>146</v>
      </c>
      <c r="B248" s="1">
        <v>57</v>
      </c>
      <c r="C248" s="1" t="s">
        <v>1658</v>
      </c>
      <c r="D248" s="2" t="s">
        <v>1659</v>
      </c>
      <c r="E248" s="1" t="s">
        <v>29</v>
      </c>
      <c r="F248" s="1" t="s">
        <v>14</v>
      </c>
      <c r="G248" s="1" t="s">
        <v>632</v>
      </c>
      <c r="H248" s="1" t="s">
        <v>634</v>
      </c>
      <c r="I248" s="1" t="s">
        <v>1660</v>
      </c>
      <c r="J248" s="2" t="s">
        <v>1661</v>
      </c>
      <c r="K248" s="2" t="s">
        <v>1662</v>
      </c>
      <c r="L248" s="2" t="s">
        <v>1663</v>
      </c>
      <c r="M248" s="3" t="str">
        <f>VLOOKUP(G248,справочник!$B$1:$C$94,2,0)</f>
        <v>МСК</v>
      </c>
    </row>
    <row r="249" spans="1:13" ht="42" thickBot="1" x14ac:dyDescent="0.35">
      <c r="A249" s="1" t="s">
        <v>146</v>
      </c>
      <c r="B249" s="1">
        <v>58</v>
      </c>
      <c r="C249" s="1" t="s">
        <v>1664</v>
      </c>
      <c r="D249" s="2" t="s">
        <v>1665</v>
      </c>
      <c r="E249" s="1" t="s">
        <v>29</v>
      </c>
      <c r="F249" s="1" t="s">
        <v>14</v>
      </c>
      <c r="G249" s="1" t="s">
        <v>632</v>
      </c>
      <c r="H249" s="1" t="s">
        <v>634</v>
      </c>
      <c r="I249" s="1" t="s">
        <v>1667</v>
      </c>
      <c r="J249" s="2" t="s">
        <v>1668</v>
      </c>
      <c r="K249" s="2" t="s">
        <v>1669</v>
      </c>
      <c r="L249" s="2" t="s">
        <v>1666</v>
      </c>
      <c r="M249" s="3" t="str">
        <f>VLOOKUP(G249,справочник!$B$1:$C$94,2,0)</f>
        <v>МСК</v>
      </c>
    </row>
    <row r="250" spans="1:13" ht="42" thickBot="1" x14ac:dyDescent="0.35">
      <c r="A250" s="1" t="s">
        <v>146</v>
      </c>
      <c r="B250" s="1">
        <v>59</v>
      </c>
      <c r="C250" s="1" t="s">
        <v>1670</v>
      </c>
      <c r="D250" s="2" t="s">
        <v>1671</v>
      </c>
      <c r="E250" s="1" t="s">
        <v>29</v>
      </c>
      <c r="F250" s="1" t="s">
        <v>14</v>
      </c>
      <c r="G250" s="1" t="s">
        <v>632</v>
      </c>
      <c r="H250" s="1" t="s">
        <v>634</v>
      </c>
      <c r="I250" s="1" t="s">
        <v>1673</v>
      </c>
      <c r="J250" s="2" t="s">
        <v>1674</v>
      </c>
      <c r="K250" s="2" t="s">
        <v>1675</v>
      </c>
      <c r="L250" s="2" t="s">
        <v>1672</v>
      </c>
      <c r="M250" s="3" t="str">
        <f>VLOOKUP(G250,справочник!$B$1:$C$94,2,0)</f>
        <v>МСК</v>
      </c>
    </row>
    <row r="251" spans="1:13" ht="42" thickBot="1" x14ac:dyDescent="0.35">
      <c r="A251" s="1" t="s">
        <v>131</v>
      </c>
      <c r="B251" s="1">
        <v>3402</v>
      </c>
      <c r="C251" s="1" t="s">
        <v>1676</v>
      </c>
      <c r="D251" s="2" t="s">
        <v>1677</v>
      </c>
      <c r="E251" s="1" t="s">
        <v>20</v>
      </c>
      <c r="F251" s="1" t="s">
        <v>14</v>
      </c>
      <c r="G251" s="1" t="s">
        <v>632</v>
      </c>
      <c r="H251" s="1" t="s">
        <v>634</v>
      </c>
      <c r="I251" s="1" t="s">
        <v>1678</v>
      </c>
      <c r="J251" s="2" t="s">
        <v>1679</v>
      </c>
      <c r="K251" s="2" t="s">
        <v>1680</v>
      </c>
      <c r="L251" s="2" t="s">
        <v>1681</v>
      </c>
      <c r="M251" s="3" t="str">
        <f>VLOOKUP(G251,справочник!$B$1:$C$94,2,0)</f>
        <v>МСК</v>
      </c>
    </row>
    <row r="252" spans="1:13" ht="42" thickBot="1" x14ac:dyDescent="0.35">
      <c r="A252" s="1" t="s">
        <v>131</v>
      </c>
      <c r="B252" s="1">
        <v>672</v>
      </c>
      <c r="C252" s="1" t="s">
        <v>1682</v>
      </c>
      <c r="D252" s="2" t="s">
        <v>1683</v>
      </c>
      <c r="E252" s="1" t="s">
        <v>29</v>
      </c>
      <c r="F252" s="1" t="s">
        <v>222</v>
      </c>
      <c r="G252" s="1" t="s">
        <v>1160</v>
      </c>
      <c r="H252" s="1" t="s">
        <v>1685</v>
      </c>
      <c r="I252" s="1" t="s">
        <v>1686</v>
      </c>
      <c r="J252" s="2" t="s">
        <v>1687</v>
      </c>
      <c r="K252" s="2" t="s">
        <v>1688</v>
      </c>
      <c r="L252" s="2" t="s">
        <v>1684</v>
      </c>
      <c r="M252" s="3" t="str">
        <f>VLOOKUP(G252,справочник!$B$1:$C$94,2,0)</f>
        <v>МСК+1</v>
      </c>
    </row>
    <row r="253" spans="1:13" ht="42" thickBot="1" x14ac:dyDescent="0.35">
      <c r="A253" s="1" t="s">
        <v>146</v>
      </c>
      <c r="B253" s="1">
        <v>60</v>
      </c>
      <c r="C253" s="1" t="s">
        <v>1689</v>
      </c>
      <c r="D253" s="2" t="s">
        <v>1690</v>
      </c>
      <c r="E253" s="1" t="s">
        <v>29</v>
      </c>
      <c r="F253" s="1" t="s">
        <v>222</v>
      </c>
      <c r="G253" s="1" t="s">
        <v>1160</v>
      </c>
      <c r="H253" s="1" t="s">
        <v>1685</v>
      </c>
      <c r="I253" s="1" t="s">
        <v>1691</v>
      </c>
      <c r="J253" s="2" t="s">
        <v>1692</v>
      </c>
      <c r="K253" s="2" t="s">
        <v>1693</v>
      </c>
      <c r="L253" s="2" t="s">
        <v>1694</v>
      </c>
      <c r="M253" s="3" t="str">
        <f>VLOOKUP(G253,справочник!$B$1:$C$94,2,0)</f>
        <v>МСК+1</v>
      </c>
    </row>
    <row r="254" spans="1:13" ht="42" thickBot="1" x14ac:dyDescent="0.35">
      <c r="A254" s="1" t="s">
        <v>146</v>
      </c>
      <c r="B254" s="1">
        <v>61</v>
      </c>
      <c r="C254" s="1" t="s">
        <v>1695</v>
      </c>
      <c r="D254" s="2" t="s">
        <v>1696</v>
      </c>
      <c r="E254" s="1" t="s">
        <v>29</v>
      </c>
      <c r="F254" s="1" t="s">
        <v>109</v>
      </c>
      <c r="G254" s="1" t="s">
        <v>1697</v>
      </c>
      <c r="H254" s="1" t="s">
        <v>1698</v>
      </c>
      <c r="I254" s="1" t="s">
        <v>1699</v>
      </c>
      <c r="J254" s="2" t="s">
        <v>1700</v>
      </c>
      <c r="K254" s="2" t="s">
        <v>1701</v>
      </c>
      <c r="L254" s="2" t="s">
        <v>1702</v>
      </c>
      <c r="M254" s="3" t="str">
        <f>VLOOKUP(G254,справочник!$B$1:$C$94,2,0)</f>
        <v>МСК</v>
      </c>
    </row>
    <row r="255" spans="1:13" ht="42" thickBot="1" x14ac:dyDescent="0.35">
      <c r="A255" s="1" t="s">
        <v>12</v>
      </c>
      <c r="B255" s="1">
        <v>7598</v>
      </c>
      <c r="C255" s="1" t="s">
        <v>1703</v>
      </c>
      <c r="D255" s="2" t="s">
        <v>1704</v>
      </c>
      <c r="E255" s="1" t="s">
        <v>29</v>
      </c>
      <c r="F255" s="1" t="s">
        <v>109</v>
      </c>
      <c r="G255" s="1" t="s">
        <v>1697</v>
      </c>
      <c r="H255" s="1" t="s">
        <v>1705</v>
      </c>
      <c r="I255" s="1" t="s">
        <v>1706</v>
      </c>
      <c r="J255" s="2" t="s">
        <v>1707</v>
      </c>
      <c r="K255" s="2" t="s">
        <v>1708</v>
      </c>
      <c r="L255" s="2" t="s">
        <v>1709</v>
      </c>
      <c r="M255" s="3" t="str">
        <f>VLOOKUP(G255,справочник!$B$1:$C$94,2,0)</f>
        <v>МСК</v>
      </c>
    </row>
    <row r="256" spans="1:13" ht="42" thickBot="1" x14ac:dyDescent="0.35">
      <c r="A256" s="1" t="s">
        <v>146</v>
      </c>
      <c r="B256" s="1">
        <v>1809</v>
      </c>
      <c r="C256" s="1" t="s">
        <v>1711</v>
      </c>
      <c r="D256" s="2" t="s">
        <v>1712</v>
      </c>
      <c r="E256" s="1" t="s">
        <v>20</v>
      </c>
      <c r="F256" s="1" t="s">
        <v>114</v>
      </c>
      <c r="G256" s="1" t="s">
        <v>121</v>
      </c>
      <c r="H256" s="1" t="s">
        <v>122</v>
      </c>
      <c r="I256" s="1" t="s">
        <v>1713</v>
      </c>
      <c r="J256" s="2" t="s">
        <v>381</v>
      </c>
      <c r="K256" s="2" t="s">
        <v>1714</v>
      </c>
      <c r="L256" s="2" t="s">
        <v>1715</v>
      </c>
      <c r="M256" s="3" t="str">
        <f>VLOOKUP(G256,справочник!$B$1:$C$94,2,0)</f>
        <v>МСК+7</v>
      </c>
    </row>
    <row r="257" spans="1:13" ht="42" thickBot="1" x14ac:dyDescent="0.35">
      <c r="A257" s="1" t="s">
        <v>146</v>
      </c>
      <c r="B257" s="1">
        <v>1986</v>
      </c>
      <c r="C257" s="1" t="s">
        <v>1716</v>
      </c>
      <c r="D257" s="2" t="s">
        <v>1717</v>
      </c>
      <c r="E257" s="1" t="s">
        <v>20</v>
      </c>
      <c r="F257" s="1" t="s">
        <v>36</v>
      </c>
      <c r="G257" s="1" t="s">
        <v>1181</v>
      </c>
      <c r="H257" s="1" t="s">
        <v>1710</v>
      </c>
      <c r="I257" s="1" t="s">
        <v>1719</v>
      </c>
      <c r="J257" s="2" t="s">
        <v>848</v>
      </c>
      <c r="K257" s="2" t="s">
        <v>1720</v>
      </c>
      <c r="L257" s="2" t="s">
        <v>1718</v>
      </c>
      <c r="M257" s="3" t="str">
        <f>VLOOKUP(G257,справочник!$B$1:$C$94,2,0)</f>
        <v>МСК+4</v>
      </c>
    </row>
    <row r="258" spans="1:13" ht="42" thickBot="1" x14ac:dyDescent="0.35">
      <c r="A258" s="1" t="s">
        <v>146</v>
      </c>
      <c r="B258" s="1">
        <v>2837</v>
      </c>
      <c r="C258" s="1" t="s">
        <v>1721</v>
      </c>
      <c r="D258" s="2" t="s">
        <v>1722</v>
      </c>
      <c r="E258" s="1" t="s">
        <v>20</v>
      </c>
      <c r="F258" s="1" t="s">
        <v>21</v>
      </c>
      <c r="G258" s="1" t="s">
        <v>1043</v>
      </c>
      <c r="H258" s="1" t="s">
        <v>1723</v>
      </c>
      <c r="I258" s="1" t="s">
        <v>1724</v>
      </c>
      <c r="J258" s="2" t="s">
        <v>92</v>
      </c>
      <c r="K258" s="2" t="s">
        <v>92</v>
      </c>
      <c r="L258" s="2" t="s">
        <v>92</v>
      </c>
      <c r="M258" s="3" t="str">
        <f>VLOOKUP(G258,справочник!$B$1:$C$94,2,0)</f>
        <v>МСК</v>
      </c>
    </row>
    <row r="259" spans="1:13" ht="42" thickBot="1" x14ac:dyDescent="0.35">
      <c r="A259" s="1" t="s">
        <v>146</v>
      </c>
      <c r="B259" s="1">
        <v>2221</v>
      </c>
      <c r="C259" s="1" t="s">
        <v>1725</v>
      </c>
      <c r="D259" s="2" t="s">
        <v>1726</v>
      </c>
      <c r="E259" s="1" t="s">
        <v>20</v>
      </c>
      <c r="F259" s="1" t="s">
        <v>14</v>
      </c>
      <c r="G259" s="1" t="s">
        <v>15</v>
      </c>
      <c r="H259" s="1" t="s">
        <v>16</v>
      </c>
      <c r="I259" s="1" t="s">
        <v>1727</v>
      </c>
      <c r="J259" s="2" t="s">
        <v>1728</v>
      </c>
      <c r="K259" s="2" t="s">
        <v>1729</v>
      </c>
      <c r="L259" s="2" t="s">
        <v>1730</v>
      </c>
      <c r="M259" s="3" t="str">
        <f>VLOOKUP(G259,справочник!$B$1:$C$94,2,0)</f>
        <v>МСК</v>
      </c>
    </row>
    <row r="260" spans="1:13" ht="42" thickBot="1" x14ac:dyDescent="0.35">
      <c r="A260" s="1" t="s">
        <v>146</v>
      </c>
      <c r="B260" s="1">
        <v>2201</v>
      </c>
      <c r="C260" s="1" t="s">
        <v>1731</v>
      </c>
      <c r="D260" s="2" t="s">
        <v>1732</v>
      </c>
      <c r="E260" s="1" t="s">
        <v>20</v>
      </c>
      <c r="F260" s="1" t="s">
        <v>14</v>
      </c>
      <c r="G260" s="1" t="s">
        <v>15</v>
      </c>
      <c r="H260" s="1" t="s">
        <v>16</v>
      </c>
      <c r="I260" s="1" t="s">
        <v>1733</v>
      </c>
      <c r="J260" s="2" t="s">
        <v>1143</v>
      </c>
      <c r="K260" s="2" t="s">
        <v>1734</v>
      </c>
      <c r="L260" s="2" t="s">
        <v>1735</v>
      </c>
      <c r="M260" s="3" t="str">
        <f>VLOOKUP(G260,справочник!$B$1:$C$94,2,0)</f>
        <v>МСК</v>
      </c>
    </row>
    <row r="261" spans="1:13" ht="42" thickBot="1" x14ac:dyDescent="0.35">
      <c r="A261" s="1" t="s">
        <v>146</v>
      </c>
      <c r="B261" s="1">
        <v>2186</v>
      </c>
      <c r="C261" s="1" t="s">
        <v>1736</v>
      </c>
      <c r="D261" s="2" t="s">
        <v>1737</v>
      </c>
      <c r="E261" s="1" t="s">
        <v>20</v>
      </c>
      <c r="F261" s="1" t="s">
        <v>14</v>
      </c>
      <c r="G261" s="1" t="s">
        <v>15</v>
      </c>
      <c r="H261" s="1" t="s">
        <v>16</v>
      </c>
      <c r="I261" s="1" t="s">
        <v>1739</v>
      </c>
      <c r="J261" s="2" t="s">
        <v>1740</v>
      </c>
      <c r="K261" s="2" t="s">
        <v>1741</v>
      </c>
      <c r="L261" s="2" t="s">
        <v>1738</v>
      </c>
      <c r="M261" s="3" t="str">
        <f>VLOOKUP(G261,справочник!$B$1:$C$94,2,0)</f>
        <v>МСК</v>
      </c>
    </row>
    <row r="262" spans="1:13" ht="42" thickBot="1" x14ac:dyDescent="0.35">
      <c r="A262" s="1" t="s">
        <v>146</v>
      </c>
      <c r="B262" s="1">
        <v>2222</v>
      </c>
      <c r="C262" s="1" t="s">
        <v>1742</v>
      </c>
      <c r="D262" s="2" t="s">
        <v>1743</v>
      </c>
      <c r="E262" s="1" t="s">
        <v>20</v>
      </c>
      <c r="F262" s="1" t="s">
        <v>14</v>
      </c>
      <c r="G262" s="1" t="s">
        <v>43</v>
      </c>
      <c r="H262" s="1" t="s">
        <v>1745</v>
      </c>
      <c r="I262" s="1" t="s">
        <v>1746</v>
      </c>
      <c r="J262" s="2" t="s">
        <v>1747</v>
      </c>
      <c r="K262" s="2" t="s">
        <v>1748</v>
      </c>
      <c r="L262" s="2" t="s">
        <v>1744</v>
      </c>
      <c r="M262" s="3" t="str">
        <f>VLOOKUP(G262,справочник!$B$1:$C$94,2,0)</f>
        <v>МСК</v>
      </c>
    </row>
    <row r="263" spans="1:13" ht="28.2" thickBot="1" x14ac:dyDescent="0.35">
      <c r="A263" s="1" t="s">
        <v>12</v>
      </c>
      <c r="B263" s="1">
        <v>3246</v>
      </c>
      <c r="C263" s="1" t="s">
        <v>1749</v>
      </c>
      <c r="D263" s="2" t="s">
        <v>1750</v>
      </c>
      <c r="E263" s="1" t="s">
        <v>29</v>
      </c>
      <c r="F263" s="1" t="s">
        <v>14</v>
      </c>
      <c r="G263" s="1" t="s">
        <v>15</v>
      </c>
      <c r="H263" s="1" t="s">
        <v>16</v>
      </c>
      <c r="I263" s="1" t="s">
        <v>1752</v>
      </c>
      <c r="J263" s="2" t="s">
        <v>1753</v>
      </c>
      <c r="K263" s="2" t="s">
        <v>1754</v>
      </c>
      <c r="L263" s="2" t="s">
        <v>1751</v>
      </c>
      <c r="M263" s="3" t="str">
        <f>VLOOKUP(G263,справочник!$B$1:$C$94,2,0)</f>
        <v>МСК</v>
      </c>
    </row>
    <row r="264" spans="1:13" ht="28.2" thickBot="1" x14ac:dyDescent="0.35">
      <c r="A264" s="1" t="s">
        <v>12</v>
      </c>
      <c r="B264" s="1">
        <v>7364</v>
      </c>
      <c r="C264" s="1" t="s">
        <v>1755</v>
      </c>
      <c r="D264" s="2" t="s">
        <v>1756</v>
      </c>
      <c r="E264" s="1" t="s">
        <v>29</v>
      </c>
      <c r="F264" s="1" t="s">
        <v>14</v>
      </c>
      <c r="G264" s="1" t="s">
        <v>765</v>
      </c>
      <c r="H264" s="1" t="s">
        <v>766</v>
      </c>
      <c r="I264" s="1" t="s">
        <v>1757</v>
      </c>
      <c r="J264" s="2" t="s">
        <v>1758</v>
      </c>
      <c r="K264" s="2" t="s">
        <v>1759</v>
      </c>
      <c r="L264" s="2" t="s">
        <v>1760</v>
      </c>
      <c r="M264" s="3" t="str">
        <f>VLOOKUP(G264,справочник!$B$1:$C$94,2,0)</f>
        <v>МСК</v>
      </c>
    </row>
    <row r="265" spans="1:13" ht="42" thickBot="1" x14ac:dyDescent="0.35">
      <c r="A265" s="1" t="s">
        <v>146</v>
      </c>
      <c r="B265" s="1">
        <v>2697</v>
      </c>
      <c r="C265" s="1" t="s">
        <v>1762</v>
      </c>
      <c r="D265" s="2" t="s">
        <v>1763</v>
      </c>
      <c r="E265" s="1" t="s">
        <v>20</v>
      </c>
      <c r="F265" s="1" t="s">
        <v>14</v>
      </c>
      <c r="G265" s="1" t="s">
        <v>15</v>
      </c>
      <c r="H265" s="1" t="s">
        <v>1764</v>
      </c>
      <c r="I265" s="1" t="s">
        <v>1765</v>
      </c>
      <c r="J265" s="2" t="s">
        <v>1766</v>
      </c>
      <c r="K265" s="2" t="s">
        <v>1767</v>
      </c>
      <c r="L265" s="2" t="s">
        <v>1768</v>
      </c>
      <c r="M265" s="3" t="str">
        <f>VLOOKUP(G265,справочник!$B$1:$C$94,2,0)</f>
        <v>МСК</v>
      </c>
    </row>
    <row r="266" spans="1:13" ht="42" thickBot="1" x14ac:dyDescent="0.35">
      <c r="A266" s="1" t="s">
        <v>146</v>
      </c>
      <c r="B266" s="1">
        <v>2171</v>
      </c>
      <c r="C266" s="1" t="s">
        <v>1769</v>
      </c>
      <c r="D266" s="2" t="s">
        <v>1770</v>
      </c>
      <c r="E266" s="1" t="s">
        <v>20</v>
      </c>
      <c r="F266" s="1" t="s">
        <v>14</v>
      </c>
      <c r="G266" s="1" t="s">
        <v>15</v>
      </c>
      <c r="H266" s="1" t="s">
        <v>1771</v>
      </c>
      <c r="I266" s="1" t="s">
        <v>1772</v>
      </c>
      <c r="J266" s="2" t="s">
        <v>1773</v>
      </c>
      <c r="K266" s="2" t="s">
        <v>1774</v>
      </c>
      <c r="L266" s="2" t="s">
        <v>1775</v>
      </c>
      <c r="M266" s="3" t="str">
        <f>VLOOKUP(G266,справочник!$B$1:$C$94,2,0)</f>
        <v>МСК</v>
      </c>
    </row>
    <row r="267" spans="1:13" ht="42" thickBot="1" x14ac:dyDescent="0.35">
      <c r="A267" s="1" t="s">
        <v>146</v>
      </c>
      <c r="B267" s="1">
        <v>1807</v>
      </c>
      <c r="C267" s="1" t="s">
        <v>1776</v>
      </c>
      <c r="D267" s="2" t="s">
        <v>1777</v>
      </c>
      <c r="E267" s="1" t="s">
        <v>20</v>
      </c>
      <c r="F267" s="1" t="s">
        <v>114</v>
      </c>
      <c r="G267" s="1" t="s">
        <v>1778</v>
      </c>
      <c r="H267" s="1" t="s">
        <v>1780</v>
      </c>
      <c r="I267" s="1" t="s">
        <v>1781</v>
      </c>
      <c r="J267" s="2" t="s">
        <v>1782</v>
      </c>
      <c r="K267" s="2" t="s">
        <v>1783</v>
      </c>
      <c r="L267" s="2" t="s">
        <v>1779</v>
      </c>
      <c r="M267" s="3" t="str">
        <f>VLOOKUP(G267,справочник!$B$1:$C$94,2,0)</f>
        <v>МСК+8</v>
      </c>
    </row>
    <row r="268" spans="1:13" ht="42" thickBot="1" x14ac:dyDescent="0.35">
      <c r="A268" s="1" t="s">
        <v>146</v>
      </c>
      <c r="B268" s="1">
        <v>1852</v>
      </c>
      <c r="C268" s="1" t="s">
        <v>1784</v>
      </c>
      <c r="D268" s="2" t="s">
        <v>1785</v>
      </c>
      <c r="E268" s="1" t="s">
        <v>20</v>
      </c>
      <c r="F268" s="1" t="s">
        <v>14</v>
      </c>
      <c r="G268" s="1" t="s">
        <v>15</v>
      </c>
      <c r="H268" s="1" t="s">
        <v>16</v>
      </c>
      <c r="I268" s="1" t="s">
        <v>1786</v>
      </c>
      <c r="J268" s="2" t="s">
        <v>1787</v>
      </c>
      <c r="K268" s="2" t="s">
        <v>1788</v>
      </c>
      <c r="L268" s="2" t="s">
        <v>1789</v>
      </c>
      <c r="M268" s="3" t="str">
        <f>VLOOKUP(G268,справочник!$B$1:$C$94,2,0)</f>
        <v>МСК</v>
      </c>
    </row>
    <row r="269" spans="1:13" ht="42" thickBot="1" x14ac:dyDescent="0.35">
      <c r="A269" s="1" t="s">
        <v>146</v>
      </c>
      <c r="B269" s="1">
        <v>1897</v>
      </c>
      <c r="C269" s="1" t="s">
        <v>1790</v>
      </c>
      <c r="D269" s="2" t="s">
        <v>1791</v>
      </c>
      <c r="E269" s="1" t="s">
        <v>20</v>
      </c>
      <c r="F269" s="1" t="s">
        <v>36</v>
      </c>
      <c r="G269" s="1" t="s">
        <v>264</v>
      </c>
      <c r="H269" s="1" t="s">
        <v>266</v>
      </c>
      <c r="I269" s="1" t="s">
        <v>1793</v>
      </c>
      <c r="J269" s="2" t="s">
        <v>1794</v>
      </c>
      <c r="K269" s="2" t="s">
        <v>1795</v>
      </c>
      <c r="L269" s="2" t="s">
        <v>1792</v>
      </c>
      <c r="M269" s="3" t="str">
        <f>VLOOKUP(G269,справочник!$B$1:$C$94,2,0)</f>
        <v>МСК+4</v>
      </c>
    </row>
    <row r="270" spans="1:13" ht="42" thickBot="1" x14ac:dyDescent="0.35">
      <c r="A270" s="1" t="s">
        <v>146</v>
      </c>
      <c r="B270" s="1">
        <v>2017</v>
      </c>
      <c r="C270" s="1" t="s">
        <v>1796</v>
      </c>
      <c r="D270" s="2" t="s">
        <v>1797</v>
      </c>
      <c r="E270" s="1" t="s">
        <v>20</v>
      </c>
      <c r="F270" s="1" t="s">
        <v>14</v>
      </c>
      <c r="G270" s="1" t="s">
        <v>15</v>
      </c>
      <c r="H270" s="1" t="s">
        <v>16</v>
      </c>
      <c r="I270" s="1" t="s">
        <v>1799</v>
      </c>
      <c r="J270" s="2" t="s">
        <v>1800</v>
      </c>
      <c r="K270" s="2" t="s">
        <v>1801</v>
      </c>
      <c r="L270" s="2" t="s">
        <v>1798</v>
      </c>
      <c r="M270" s="3" t="str">
        <f>VLOOKUP(G270,справочник!$B$1:$C$94,2,0)</f>
        <v>МСК</v>
      </c>
    </row>
    <row r="271" spans="1:13" ht="42" thickBot="1" x14ac:dyDescent="0.35">
      <c r="A271" s="1" t="s">
        <v>146</v>
      </c>
      <c r="B271" s="1">
        <v>2890</v>
      </c>
      <c r="C271" s="1" t="s">
        <v>1802</v>
      </c>
      <c r="D271" s="2" t="s">
        <v>1803</v>
      </c>
      <c r="E271" s="1" t="s">
        <v>20</v>
      </c>
      <c r="F271" s="1" t="s">
        <v>14</v>
      </c>
      <c r="G271" s="1" t="s">
        <v>15</v>
      </c>
      <c r="H271" s="1" t="s">
        <v>16</v>
      </c>
      <c r="I271" s="1" t="s">
        <v>1805</v>
      </c>
      <c r="J271" s="2" t="s">
        <v>1806</v>
      </c>
      <c r="K271" s="2" t="s">
        <v>1807</v>
      </c>
      <c r="L271" s="2" t="s">
        <v>1804</v>
      </c>
      <c r="M271" s="3" t="str">
        <f>VLOOKUP(G271,справочник!$B$1:$C$94,2,0)</f>
        <v>МСК</v>
      </c>
    </row>
    <row r="272" spans="1:13" ht="42" thickBot="1" x14ac:dyDescent="0.35">
      <c r="A272" s="1" t="s">
        <v>146</v>
      </c>
      <c r="B272" s="1">
        <v>2955</v>
      </c>
      <c r="C272" s="1" t="s">
        <v>1808</v>
      </c>
      <c r="D272" s="2" t="s">
        <v>1809</v>
      </c>
      <c r="E272" s="1" t="s">
        <v>20</v>
      </c>
      <c r="F272" s="1" t="s">
        <v>30</v>
      </c>
      <c r="G272" s="1" t="s">
        <v>31</v>
      </c>
      <c r="H272" s="1" t="s">
        <v>32</v>
      </c>
      <c r="I272" s="1" t="s">
        <v>1810</v>
      </c>
      <c r="J272" s="2" t="s">
        <v>1811</v>
      </c>
      <c r="K272" s="2" t="s">
        <v>1812</v>
      </c>
      <c r="L272" s="2" t="s">
        <v>1813</v>
      </c>
      <c r="M272" s="3" t="str">
        <f>VLOOKUP(G272,справочник!$B$1:$C$94,2,0)</f>
        <v>МСК</v>
      </c>
    </row>
    <row r="273" spans="1:13" ht="42" thickBot="1" x14ac:dyDescent="0.35">
      <c r="A273" s="1" t="s">
        <v>146</v>
      </c>
      <c r="B273" s="1">
        <v>2307</v>
      </c>
      <c r="C273" s="1" t="s">
        <v>1814</v>
      </c>
      <c r="D273" s="2" t="s">
        <v>1815</v>
      </c>
      <c r="E273" s="1" t="s">
        <v>20</v>
      </c>
      <c r="F273" s="1" t="s">
        <v>14</v>
      </c>
      <c r="G273" s="1" t="s">
        <v>15</v>
      </c>
      <c r="H273" s="1" t="s">
        <v>16</v>
      </c>
      <c r="I273" s="1" t="s">
        <v>1817</v>
      </c>
      <c r="J273" s="2" t="s">
        <v>1818</v>
      </c>
      <c r="K273" s="2" t="s">
        <v>1819</v>
      </c>
      <c r="L273" s="2" t="s">
        <v>1816</v>
      </c>
      <c r="M273" s="3" t="str">
        <f>VLOOKUP(G273,справочник!$B$1:$C$94,2,0)</f>
        <v>МСК</v>
      </c>
    </row>
    <row r="274" spans="1:13" ht="42" thickBot="1" x14ac:dyDescent="0.35">
      <c r="A274" s="1" t="s">
        <v>146</v>
      </c>
      <c r="B274" s="1">
        <v>1998</v>
      </c>
      <c r="C274" s="1" t="s">
        <v>1820</v>
      </c>
      <c r="D274" s="2" t="s">
        <v>1821</v>
      </c>
      <c r="E274" s="1" t="s">
        <v>20</v>
      </c>
      <c r="F274" s="1" t="s">
        <v>47</v>
      </c>
      <c r="G274" s="1" t="s">
        <v>48</v>
      </c>
      <c r="H274" s="1" t="s">
        <v>49</v>
      </c>
      <c r="I274" s="1" t="s">
        <v>1823</v>
      </c>
      <c r="J274" s="2" t="s">
        <v>1824</v>
      </c>
      <c r="K274" s="2" t="s">
        <v>1825</v>
      </c>
      <c r="L274" s="2" t="s">
        <v>1822</v>
      </c>
      <c r="M274" s="3" t="str">
        <f>VLOOKUP(G274,справочник!$B$1:$C$94,2,0)</f>
        <v>МСК+2</v>
      </c>
    </row>
    <row r="275" spans="1:13" ht="42" thickBot="1" x14ac:dyDescent="0.35">
      <c r="A275" s="1" t="s">
        <v>146</v>
      </c>
      <c r="B275" s="1">
        <v>1881</v>
      </c>
      <c r="C275" s="1" t="s">
        <v>1826</v>
      </c>
      <c r="D275" s="2" t="s">
        <v>1827</v>
      </c>
      <c r="E275" s="1" t="s">
        <v>20</v>
      </c>
      <c r="F275" s="1" t="s">
        <v>14</v>
      </c>
      <c r="G275" s="1" t="s">
        <v>15</v>
      </c>
      <c r="H275" s="1" t="s">
        <v>16</v>
      </c>
      <c r="I275" s="1" t="s">
        <v>1829</v>
      </c>
      <c r="J275" s="2" t="s">
        <v>1830</v>
      </c>
      <c r="K275" s="2" t="s">
        <v>1831</v>
      </c>
      <c r="L275" s="2" t="s">
        <v>1828</v>
      </c>
      <c r="M275" s="3" t="str">
        <f>VLOOKUP(G275,справочник!$B$1:$C$94,2,0)</f>
        <v>МСК</v>
      </c>
    </row>
    <row r="276" spans="1:13" ht="42" thickBot="1" x14ac:dyDescent="0.35">
      <c r="A276" s="1" t="s">
        <v>146</v>
      </c>
      <c r="B276" s="1">
        <v>2112</v>
      </c>
      <c r="C276" s="1" t="s">
        <v>1832</v>
      </c>
      <c r="D276" s="2" t="s">
        <v>1833</v>
      </c>
      <c r="E276" s="1" t="s">
        <v>20</v>
      </c>
      <c r="F276" s="1" t="s">
        <v>36</v>
      </c>
      <c r="G276" s="1" t="s">
        <v>1181</v>
      </c>
      <c r="H276" s="1" t="s">
        <v>1710</v>
      </c>
      <c r="I276" s="1" t="s">
        <v>1835</v>
      </c>
      <c r="J276" s="2" t="s">
        <v>1836</v>
      </c>
      <c r="K276" s="2" t="s">
        <v>1837</v>
      </c>
      <c r="L276" s="2" t="s">
        <v>1834</v>
      </c>
      <c r="M276" s="3" t="str">
        <f>VLOOKUP(G276,справочник!$B$1:$C$94,2,0)</f>
        <v>МСК+4</v>
      </c>
    </row>
    <row r="277" spans="1:13" ht="42" thickBot="1" x14ac:dyDescent="0.35">
      <c r="A277" s="1" t="s">
        <v>146</v>
      </c>
      <c r="B277" s="1">
        <v>2176</v>
      </c>
      <c r="C277" s="1" t="s">
        <v>1838</v>
      </c>
      <c r="D277" s="2" t="s">
        <v>1839</v>
      </c>
      <c r="E277" s="1" t="s">
        <v>20</v>
      </c>
      <c r="F277" s="1" t="s">
        <v>14</v>
      </c>
      <c r="G277" s="1" t="s">
        <v>15</v>
      </c>
      <c r="H277" s="1" t="s">
        <v>16</v>
      </c>
      <c r="I277" s="1" t="s">
        <v>1840</v>
      </c>
      <c r="J277" s="2" t="s">
        <v>1841</v>
      </c>
      <c r="K277" s="2" t="s">
        <v>1842</v>
      </c>
      <c r="L277" s="2" t="s">
        <v>1843</v>
      </c>
      <c r="M277" s="3" t="str">
        <f>VLOOKUP(G277,справочник!$B$1:$C$94,2,0)</f>
        <v>МСК</v>
      </c>
    </row>
    <row r="278" spans="1:13" ht="42" thickBot="1" x14ac:dyDescent="0.35">
      <c r="A278" s="1" t="s">
        <v>146</v>
      </c>
      <c r="B278" s="1">
        <v>1978</v>
      </c>
      <c r="C278" s="1" t="s">
        <v>1844</v>
      </c>
      <c r="D278" s="2" t="s">
        <v>1845</v>
      </c>
      <c r="E278" s="1" t="s">
        <v>20</v>
      </c>
      <c r="F278" s="1" t="s">
        <v>36</v>
      </c>
      <c r="G278" s="1" t="s">
        <v>330</v>
      </c>
      <c r="H278" s="1" t="s">
        <v>411</v>
      </c>
      <c r="I278" s="1" t="s">
        <v>1846</v>
      </c>
      <c r="J278" s="2" t="s">
        <v>1847</v>
      </c>
      <c r="K278" s="2" t="s">
        <v>1848</v>
      </c>
      <c r="L278" s="2" t="s">
        <v>1849</v>
      </c>
      <c r="M278" s="3" t="str">
        <f>VLOOKUP(G278,справочник!$B$1:$C$94,2,0)</f>
        <v>МСК+5</v>
      </c>
    </row>
    <row r="279" spans="1:13" ht="42" thickBot="1" x14ac:dyDescent="0.35">
      <c r="A279" s="1" t="s">
        <v>146</v>
      </c>
      <c r="B279" s="1">
        <v>2251</v>
      </c>
      <c r="C279" s="1" t="s">
        <v>1850</v>
      </c>
      <c r="D279" s="2" t="s">
        <v>1851</v>
      </c>
      <c r="E279" s="1" t="s">
        <v>20</v>
      </c>
      <c r="F279" s="1" t="s">
        <v>14</v>
      </c>
      <c r="G279" s="1" t="s">
        <v>15</v>
      </c>
      <c r="H279" s="1" t="s">
        <v>16</v>
      </c>
      <c r="I279" s="1" t="s">
        <v>1854</v>
      </c>
      <c r="J279" s="2" t="s">
        <v>1855</v>
      </c>
      <c r="K279" s="2" t="s">
        <v>1852</v>
      </c>
      <c r="L279" s="2" t="s">
        <v>1853</v>
      </c>
      <c r="M279" s="3" t="str">
        <f>VLOOKUP(G279,справочник!$B$1:$C$94,2,0)</f>
        <v>МСК</v>
      </c>
    </row>
    <row r="280" spans="1:13" ht="42" thickBot="1" x14ac:dyDescent="0.35">
      <c r="A280" s="1" t="s">
        <v>146</v>
      </c>
      <c r="B280" s="1">
        <v>2305</v>
      </c>
      <c r="C280" s="1" t="s">
        <v>1856</v>
      </c>
      <c r="D280" s="2" t="s">
        <v>1857</v>
      </c>
      <c r="E280" s="1" t="s">
        <v>20</v>
      </c>
      <c r="F280" s="1" t="s">
        <v>47</v>
      </c>
      <c r="G280" s="1" t="s">
        <v>48</v>
      </c>
      <c r="H280" s="1" t="s">
        <v>49</v>
      </c>
      <c r="I280" s="1" t="s">
        <v>1859</v>
      </c>
      <c r="J280" s="2" t="s">
        <v>1860</v>
      </c>
      <c r="K280" s="2" t="s">
        <v>1861</v>
      </c>
      <c r="L280" s="2" t="s">
        <v>1858</v>
      </c>
      <c r="M280" s="3" t="str">
        <f>VLOOKUP(G280,справочник!$B$1:$C$94,2,0)</f>
        <v>МСК+2</v>
      </c>
    </row>
    <row r="281" spans="1:13" ht="42" thickBot="1" x14ac:dyDescent="0.35">
      <c r="A281" s="1" t="s">
        <v>146</v>
      </c>
      <c r="B281" s="1">
        <v>2100</v>
      </c>
      <c r="C281" s="1" t="s">
        <v>1862</v>
      </c>
      <c r="D281" s="2" t="s">
        <v>1863</v>
      </c>
      <c r="E281" s="1" t="s">
        <v>20</v>
      </c>
      <c r="F281" s="1" t="s">
        <v>36</v>
      </c>
      <c r="G281" s="1" t="s">
        <v>1181</v>
      </c>
      <c r="H281" s="1" t="s">
        <v>1710</v>
      </c>
      <c r="I281" s="1" t="s">
        <v>1864</v>
      </c>
      <c r="J281" s="2" t="s">
        <v>381</v>
      </c>
      <c r="K281" s="2" t="s">
        <v>1865</v>
      </c>
      <c r="L281" s="2" t="s">
        <v>1866</v>
      </c>
      <c r="M281" s="3" t="str">
        <f>VLOOKUP(G281,справочник!$B$1:$C$94,2,0)</f>
        <v>МСК+4</v>
      </c>
    </row>
    <row r="282" spans="1:13" ht="55.8" thickBot="1" x14ac:dyDescent="0.35">
      <c r="A282" s="1" t="s">
        <v>146</v>
      </c>
      <c r="B282" s="1">
        <v>1803</v>
      </c>
      <c r="C282" s="1" t="s">
        <v>1867</v>
      </c>
      <c r="D282" s="2" t="s">
        <v>1868</v>
      </c>
      <c r="E282" s="1" t="s">
        <v>20</v>
      </c>
      <c r="F282" s="1" t="s">
        <v>14</v>
      </c>
      <c r="G282" s="1" t="s">
        <v>15</v>
      </c>
      <c r="H282" s="1" t="s">
        <v>16</v>
      </c>
      <c r="I282" s="1" t="s">
        <v>1869</v>
      </c>
      <c r="J282" s="2" t="s">
        <v>1870</v>
      </c>
      <c r="K282" s="2" t="s">
        <v>1871</v>
      </c>
      <c r="L282" s="2" t="s">
        <v>1872</v>
      </c>
      <c r="M282" s="3" t="str">
        <f>VLOOKUP(G282,справочник!$B$1:$C$94,2,0)</f>
        <v>МСК</v>
      </c>
    </row>
    <row r="283" spans="1:13" ht="42" thickBot="1" x14ac:dyDescent="0.35">
      <c r="A283" s="1" t="s">
        <v>146</v>
      </c>
      <c r="B283" s="1">
        <v>2000</v>
      </c>
      <c r="C283" s="1" t="s">
        <v>1873</v>
      </c>
      <c r="D283" s="2" t="s">
        <v>1874</v>
      </c>
      <c r="E283" s="1" t="s">
        <v>20</v>
      </c>
      <c r="F283" s="1" t="s">
        <v>47</v>
      </c>
      <c r="G283" s="1" t="s">
        <v>48</v>
      </c>
      <c r="H283" s="1" t="s">
        <v>49</v>
      </c>
      <c r="I283" s="1" t="s">
        <v>1875</v>
      </c>
      <c r="J283" s="2" t="s">
        <v>232</v>
      </c>
      <c r="K283" s="2" t="s">
        <v>1876</v>
      </c>
      <c r="L283" s="2" t="s">
        <v>1877</v>
      </c>
      <c r="M283" s="3" t="str">
        <f>VLOOKUP(G283,справочник!$B$1:$C$94,2,0)</f>
        <v>МСК+2</v>
      </c>
    </row>
    <row r="284" spans="1:13" ht="42" thickBot="1" x14ac:dyDescent="0.35">
      <c r="A284" s="1" t="s">
        <v>146</v>
      </c>
      <c r="B284" s="1">
        <v>2108</v>
      </c>
      <c r="C284" s="1" t="s">
        <v>1878</v>
      </c>
      <c r="D284" s="2" t="s">
        <v>1879</v>
      </c>
      <c r="E284" s="1" t="s">
        <v>20</v>
      </c>
      <c r="F284" s="1" t="s">
        <v>36</v>
      </c>
      <c r="G284" s="1" t="s">
        <v>330</v>
      </c>
      <c r="H284" s="1" t="s">
        <v>411</v>
      </c>
      <c r="I284" s="1" t="s">
        <v>1880</v>
      </c>
      <c r="J284" s="2" t="s">
        <v>878</v>
      </c>
      <c r="K284" s="2" t="s">
        <v>1881</v>
      </c>
      <c r="L284" s="2" t="s">
        <v>1882</v>
      </c>
      <c r="M284" s="3" t="str">
        <f>VLOOKUP(G284,справочник!$B$1:$C$94,2,0)</f>
        <v>МСК+5</v>
      </c>
    </row>
    <row r="285" spans="1:13" ht="42" thickBot="1" x14ac:dyDescent="0.35">
      <c r="A285" s="1" t="s">
        <v>146</v>
      </c>
      <c r="B285" s="1">
        <v>1815</v>
      </c>
      <c r="C285" s="1" t="s">
        <v>1883</v>
      </c>
      <c r="D285" s="2" t="s">
        <v>1884</v>
      </c>
      <c r="E285" s="1" t="s">
        <v>20</v>
      </c>
      <c r="F285" s="1" t="s">
        <v>36</v>
      </c>
      <c r="G285" s="1" t="s">
        <v>1181</v>
      </c>
      <c r="H285" s="1" t="s">
        <v>1710</v>
      </c>
      <c r="I285" s="1" t="s">
        <v>1886</v>
      </c>
      <c r="J285" s="2" t="s">
        <v>1887</v>
      </c>
      <c r="K285" s="2" t="s">
        <v>1888</v>
      </c>
      <c r="L285" s="2" t="s">
        <v>1885</v>
      </c>
      <c r="M285" s="3" t="str">
        <f>VLOOKUP(G285,справочник!$B$1:$C$94,2,0)</f>
        <v>МСК+4</v>
      </c>
    </row>
    <row r="286" spans="1:13" ht="42" thickBot="1" x14ac:dyDescent="0.35">
      <c r="A286" s="1" t="s">
        <v>146</v>
      </c>
      <c r="B286" s="1">
        <v>2602</v>
      </c>
      <c r="C286" s="1" t="s">
        <v>1889</v>
      </c>
      <c r="D286" s="2" t="s">
        <v>1890</v>
      </c>
      <c r="E286" s="1" t="s">
        <v>20</v>
      </c>
      <c r="F286" s="1" t="s">
        <v>36</v>
      </c>
      <c r="G286" s="1" t="s">
        <v>1181</v>
      </c>
      <c r="H286" s="1" t="s">
        <v>1891</v>
      </c>
      <c r="I286" s="1" t="s">
        <v>1892</v>
      </c>
      <c r="J286" s="2" t="s">
        <v>1893</v>
      </c>
      <c r="K286" s="2" t="s">
        <v>1894</v>
      </c>
      <c r="L286" s="2" t="s">
        <v>1895</v>
      </c>
      <c r="M286" s="3" t="str">
        <f>VLOOKUP(G286,справочник!$B$1:$C$94,2,0)</f>
        <v>МСК+4</v>
      </c>
    </row>
    <row r="287" spans="1:13" ht="42" thickBot="1" x14ac:dyDescent="0.35">
      <c r="A287" s="1" t="s">
        <v>146</v>
      </c>
      <c r="B287" s="1">
        <v>2076</v>
      </c>
      <c r="C287" s="1" t="s">
        <v>1896</v>
      </c>
      <c r="D287" s="2" t="s">
        <v>1897</v>
      </c>
      <c r="E287" s="1" t="s">
        <v>20</v>
      </c>
      <c r="F287" s="1" t="s">
        <v>47</v>
      </c>
      <c r="G287" s="1" t="s">
        <v>48</v>
      </c>
      <c r="H287" s="1" t="s">
        <v>49</v>
      </c>
      <c r="I287" s="1" t="s">
        <v>1899</v>
      </c>
      <c r="J287" s="2" t="s">
        <v>1900</v>
      </c>
      <c r="K287" s="2" t="s">
        <v>1901</v>
      </c>
      <c r="L287" s="2" t="s">
        <v>1898</v>
      </c>
      <c r="M287" s="3" t="str">
        <f>VLOOKUP(G287,справочник!$B$1:$C$94,2,0)</f>
        <v>МСК+2</v>
      </c>
    </row>
    <row r="288" spans="1:13" ht="42" thickBot="1" x14ac:dyDescent="0.35">
      <c r="A288" s="1" t="s">
        <v>146</v>
      </c>
      <c r="B288" s="1">
        <v>2004</v>
      </c>
      <c r="C288" s="1" t="s">
        <v>1902</v>
      </c>
      <c r="D288" s="2" t="s">
        <v>1903</v>
      </c>
      <c r="E288" s="1" t="s">
        <v>20</v>
      </c>
      <c r="F288" s="1" t="s">
        <v>14</v>
      </c>
      <c r="G288" s="1" t="s">
        <v>15</v>
      </c>
      <c r="H288" s="1" t="s">
        <v>16</v>
      </c>
      <c r="I288" s="1" t="s">
        <v>1905</v>
      </c>
      <c r="J288" s="2" t="s">
        <v>1906</v>
      </c>
      <c r="K288" s="2" t="s">
        <v>1907</v>
      </c>
      <c r="L288" s="2" t="s">
        <v>1904</v>
      </c>
      <c r="M288" s="3" t="str">
        <f>VLOOKUP(G288,справочник!$B$1:$C$94,2,0)</f>
        <v>МСК</v>
      </c>
    </row>
    <row r="289" spans="1:13" ht="42" thickBot="1" x14ac:dyDescent="0.35">
      <c r="A289" s="1" t="s">
        <v>12</v>
      </c>
      <c r="B289" s="1">
        <v>934</v>
      </c>
      <c r="C289" s="1" t="s">
        <v>1908</v>
      </c>
      <c r="D289" s="2" t="s">
        <v>1909</v>
      </c>
      <c r="E289" s="1" t="s">
        <v>29</v>
      </c>
      <c r="F289" s="1" t="s">
        <v>14</v>
      </c>
      <c r="G289" s="1" t="s">
        <v>15</v>
      </c>
      <c r="H289" s="1" t="s">
        <v>16</v>
      </c>
      <c r="I289" s="1" t="s">
        <v>1910</v>
      </c>
      <c r="J289" s="2" t="s">
        <v>1906</v>
      </c>
      <c r="K289" s="2" t="s">
        <v>1911</v>
      </c>
      <c r="L289" s="2" t="s">
        <v>1912</v>
      </c>
      <c r="M289" s="3" t="str">
        <f>VLOOKUP(G289,справочник!$B$1:$C$94,2,0)</f>
        <v>МСК</v>
      </c>
    </row>
    <row r="290" spans="1:13" ht="28.2" thickBot="1" x14ac:dyDescent="0.35">
      <c r="A290" s="1" t="s">
        <v>12</v>
      </c>
      <c r="B290" s="1">
        <v>3318</v>
      </c>
      <c r="C290" s="1" t="s">
        <v>1913</v>
      </c>
      <c r="D290" s="2" t="s">
        <v>1914</v>
      </c>
      <c r="E290" s="1" t="s">
        <v>29</v>
      </c>
      <c r="F290" s="1" t="s">
        <v>14</v>
      </c>
      <c r="G290" s="1" t="s">
        <v>15</v>
      </c>
      <c r="H290" s="1" t="s">
        <v>16</v>
      </c>
      <c r="I290" s="1" t="s">
        <v>1915</v>
      </c>
      <c r="J290" s="2" t="s">
        <v>1916</v>
      </c>
      <c r="K290" s="2" t="s">
        <v>1917</v>
      </c>
      <c r="L290" s="2" t="s">
        <v>1918</v>
      </c>
      <c r="M290" s="3" t="str">
        <f>VLOOKUP(G290,справочник!$B$1:$C$94,2,0)</f>
        <v>МСК</v>
      </c>
    </row>
    <row r="291" spans="1:13" ht="28.2" thickBot="1" x14ac:dyDescent="0.35">
      <c r="A291" s="1" t="s">
        <v>12</v>
      </c>
      <c r="B291" s="1">
        <v>1212</v>
      </c>
      <c r="C291" s="1" t="s">
        <v>1919</v>
      </c>
      <c r="D291" s="2" t="s">
        <v>1920</v>
      </c>
      <c r="E291" s="1" t="s">
        <v>29</v>
      </c>
      <c r="F291" s="1" t="s">
        <v>14</v>
      </c>
      <c r="G291" s="1" t="s">
        <v>15</v>
      </c>
      <c r="H291" s="1" t="s">
        <v>16</v>
      </c>
      <c r="I291" s="1" t="s">
        <v>1922</v>
      </c>
      <c r="J291" s="2" t="s">
        <v>1923</v>
      </c>
      <c r="K291" s="2" t="s">
        <v>1924</v>
      </c>
      <c r="L291" s="2" t="s">
        <v>1921</v>
      </c>
      <c r="M291" s="3" t="str">
        <f>VLOOKUP(G291,справочник!$B$1:$C$94,2,0)</f>
        <v>МСК</v>
      </c>
    </row>
    <row r="292" spans="1:13" ht="42" thickBot="1" x14ac:dyDescent="0.35">
      <c r="A292" s="1" t="s">
        <v>146</v>
      </c>
      <c r="B292" s="1">
        <v>2018</v>
      </c>
      <c r="C292" s="1" t="s">
        <v>1925</v>
      </c>
      <c r="D292" s="2" t="s">
        <v>1926</v>
      </c>
      <c r="E292" s="1" t="s">
        <v>20</v>
      </c>
      <c r="F292" s="1" t="s">
        <v>14</v>
      </c>
      <c r="G292" s="1" t="s">
        <v>15</v>
      </c>
      <c r="H292" s="1" t="s">
        <v>16</v>
      </c>
      <c r="I292" s="1" t="s">
        <v>1927</v>
      </c>
      <c r="J292" s="2" t="s">
        <v>1928</v>
      </c>
      <c r="K292" s="2" t="s">
        <v>1929</v>
      </c>
      <c r="L292" s="2" t="s">
        <v>1930</v>
      </c>
      <c r="M292" s="3" t="str">
        <f>VLOOKUP(G292,справочник!$B$1:$C$94,2,0)</f>
        <v>МСК</v>
      </c>
    </row>
    <row r="293" spans="1:13" ht="55.8" thickBot="1" x14ac:dyDescent="0.35">
      <c r="A293" s="1" t="s">
        <v>146</v>
      </c>
      <c r="B293" s="1">
        <v>1979</v>
      </c>
      <c r="C293" s="1" t="s">
        <v>1931</v>
      </c>
      <c r="D293" s="2" t="s">
        <v>1932</v>
      </c>
      <c r="E293" s="1" t="s">
        <v>20</v>
      </c>
      <c r="F293" s="1" t="s">
        <v>36</v>
      </c>
      <c r="G293" s="1" t="s">
        <v>330</v>
      </c>
      <c r="H293" s="1" t="s">
        <v>411</v>
      </c>
      <c r="I293" s="1" t="s">
        <v>1934</v>
      </c>
      <c r="J293" s="2" t="s">
        <v>1935</v>
      </c>
      <c r="K293" s="2" t="s">
        <v>1936</v>
      </c>
      <c r="L293" s="2" t="s">
        <v>1933</v>
      </c>
      <c r="M293" s="3" t="str">
        <f>VLOOKUP(G293,справочник!$B$1:$C$94,2,0)</f>
        <v>МСК+5</v>
      </c>
    </row>
    <row r="294" spans="1:13" ht="42" thickBot="1" x14ac:dyDescent="0.35">
      <c r="A294" s="1" t="s">
        <v>12</v>
      </c>
      <c r="B294" s="1">
        <v>3139</v>
      </c>
      <c r="C294" s="1" t="s">
        <v>1937</v>
      </c>
      <c r="D294" s="2" t="s">
        <v>1938</v>
      </c>
      <c r="E294" s="1" t="s">
        <v>29</v>
      </c>
      <c r="F294" s="1" t="s">
        <v>109</v>
      </c>
      <c r="G294" s="1" t="s">
        <v>110</v>
      </c>
      <c r="H294" s="1" t="s">
        <v>111</v>
      </c>
      <c r="I294" s="1" t="s">
        <v>1939</v>
      </c>
      <c r="J294" s="2" t="s">
        <v>1940</v>
      </c>
      <c r="K294" s="2" t="s">
        <v>1941</v>
      </c>
      <c r="L294" s="2" t="s">
        <v>1942</v>
      </c>
      <c r="M294" s="3" t="str">
        <f>VLOOKUP(G294,справочник!$B$1:$C$94,2,0)</f>
        <v>МСК</v>
      </c>
    </row>
    <row r="295" spans="1:13" ht="42" thickBot="1" x14ac:dyDescent="0.35">
      <c r="A295" s="1" t="s">
        <v>146</v>
      </c>
      <c r="B295" s="1">
        <v>2267</v>
      </c>
      <c r="C295" s="1" t="s">
        <v>1943</v>
      </c>
      <c r="D295" s="2" t="s">
        <v>1944</v>
      </c>
      <c r="E295" s="1" t="s">
        <v>20</v>
      </c>
      <c r="F295" s="1" t="s">
        <v>14</v>
      </c>
      <c r="G295" s="1" t="s">
        <v>15</v>
      </c>
      <c r="H295" s="1" t="s">
        <v>16</v>
      </c>
      <c r="I295" s="1" t="s">
        <v>1193</v>
      </c>
      <c r="J295" s="2" t="s">
        <v>1946</v>
      </c>
      <c r="K295" s="2" t="s">
        <v>1947</v>
      </c>
      <c r="L295" s="2" t="s">
        <v>1945</v>
      </c>
      <c r="M295" s="3" t="str">
        <f>VLOOKUP(G295,справочник!$B$1:$C$94,2,0)</f>
        <v>МСК</v>
      </c>
    </row>
    <row r="296" spans="1:13" ht="42" thickBot="1" x14ac:dyDescent="0.35">
      <c r="A296" s="1" t="s">
        <v>83</v>
      </c>
      <c r="B296" s="1">
        <v>3476</v>
      </c>
      <c r="C296" s="1" t="s">
        <v>1948</v>
      </c>
      <c r="D296" s="2" t="s">
        <v>1949</v>
      </c>
      <c r="E296" s="1" t="s">
        <v>20</v>
      </c>
      <c r="F296" s="1" t="s">
        <v>14</v>
      </c>
      <c r="G296" s="1" t="s">
        <v>15</v>
      </c>
      <c r="H296" s="1" t="s">
        <v>16</v>
      </c>
      <c r="I296" s="1" t="s">
        <v>1950</v>
      </c>
      <c r="J296" s="2" t="s">
        <v>1951</v>
      </c>
      <c r="K296" s="2" t="s">
        <v>1952</v>
      </c>
      <c r="L296" s="2" t="s">
        <v>1953</v>
      </c>
      <c r="M296" s="3" t="str">
        <f>VLOOKUP(G296,справочник!$B$1:$C$94,2,0)</f>
        <v>МСК</v>
      </c>
    </row>
    <row r="297" spans="1:13" ht="42" thickBot="1" x14ac:dyDescent="0.35">
      <c r="A297" s="1" t="s">
        <v>146</v>
      </c>
      <c r="B297" s="1">
        <v>1932</v>
      </c>
      <c r="C297" s="1" t="s">
        <v>1954</v>
      </c>
      <c r="D297" s="2" t="s">
        <v>1955</v>
      </c>
      <c r="E297" s="1" t="s">
        <v>20</v>
      </c>
      <c r="F297" s="1" t="s">
        <v>14</v>
      </c>
      <c r="G297" s="1" t="s">
        <v>15</v>
      </c>
      <c r="H297" s="1" t="s">
        <v>1956</v>
      </c>
      <c r="I297" s="1" t="s">
        <v>1957</v>
      </c>
      <c r="J297" s="2" t="s">
        <v>1958</v>
      </c>
      <c r="K297" s="2" t="s">
        <v>1959</v>
      </c>
      <c r="L297" s="2" t="s">
        <v>1960</v>
      </c>
      <c r="M297" s="3" t="str">
        <f>VLOOKUP(G297,справочник!$B$1:$C$94,2,0)</f>
        <v>МСК</v>
      </c>
    </row>
    <row r="298" spans="1:13" ht="42" thickBot="1" x14ac:dyDescent="0.35">
      <c r="A298" s="1" t="s">
        <v>146</v>
      </c>
      <c r="B298" s="1">
        <v>2015</v>
      </c>
      <c r="C298" s="1" t="s">
        <v>1961</v>
      </c>
      <c r="D298" s="2" t="s">
        <v>1962</v>
      </c>
      <c r="E298" s="1" t="s">
        <v>20</v>
      </c>
      <c r="F298" s="1" t="s">
        <v>36</v>
      </c>
      <c r="G298" s="1" t="s">
        <v>330</v>
      </c>
      <c r="H298" s="1" t="s">
        <v>411</v>
      </c>
      <c r="I298" s="1" t="s">
        <v>1964</v>
      </c>
      <c r="J298" s="2" t="s">
        <v>1965</v>
      </c>
      <c r="K298" s="2" t="s">
        <v>1966</v>
      </c>
      <c r="L298" s="2" t="s">
        <v>1963</v>
      </c>
      <c r="M298" s="3" t="str">
        <f>VLOOKUP(G298,справочник!$B$1:$C$94,2,0)</f>
        <v>МСК+5</v>
      </c>
    </row>
    <row r="299" spans="1:13" ht="42" thickBot="1" x14ac:dyDescent="0.35">
      <c r="A299" s="1" t="s">
        <v>146</v>
      </c>
      <c r="B299" s="1">
        <v>2122</v>
      </c>
      <c r="C299" s="1" t="s">
        <v>1967</v>
      </c>
      <c r="D299" s="2" t="s">
        <v>1968</v>
      </c>
      <c r="E299" s="1" t="s">
        <v>20</v>
      </c>
      <c r="F299" s="1" t="s">
        <v>47</v>
      </c>
      <c r="G299" s="1" t="s">
        <v>48</v>
      </c>
      <c r="H299" s="1" t="s">
        <v>49</v>
      </c>
      <c r="I299" s="1" t="s">
        <v>1970</v>
      </c>
      <c r="J299" s="2" t="s">
        <v>1096</v>
      </c>
      <c r="K299" s="2" t="s">
        <v>1971</v>
      </c>
      <c r="L299" s="2" t="s">
        <v>1969</v>
      </c>
      <c r="M299" s="3" t="str">
        <f>VLOOKUP(G299,справочник!$B$1:$C$94,2,0)</f>
        <v>МСК+2</v>
      </c>
    </row>
    <row r="300" spans="1:13" ht="28.2" thickBot="1" x14ac:dyDescent="0.35">
      <c r="A300" s="1" t="s">
        <v>12</v>
      </c>
      <c r="B300" s="1">
        <v>904</v>
      </c>
      <c r="C300" s="1" t="s">
        <v>1972</v>
      </c>
      <c r="D300" s="2" t="s">
        <v>1973</v>
      </c>
      <c r="E300" s="1" t="s">
        <v>29</v>
      </c>
      <c r="F300" s="1" t="s">
        <v>30</v>
      </c>
      <c r="G300" s="1" t="s">
        <v>31</v>
      </c>
      <c r="H300" s="1" t="s">
        <v>32</v>
      </c>
      <c r="I300" s="1" t="s">
        <v>1974</v>
      </c>
      <c r="J300" s="2" t="s">
        <v>1975</v>
      </c>
      <c r="K300" s="2" t="s">
        <v>1976</v>
      </c>
      <c r="L300" s="2" t="s">
        <v>1977</v>
      </c>
      <c r="M300" s="3" t="str">
        <f>VLOOKUP(G300,справочник!$B$1:$C$94,2,0)</f>
        <v>МСК</v>
      </c>
    </row>
    <row r="301" spans="1:13" ht="42" thickBot="1" x14ac:dyDescent="0.35">
      <c r="A301" s="1" t="s">
        <v>146</v>
      </c>
      <c r="B301" s="1">
        <v>2225</v>
      </c>
      <c r="C301" s="1" t="s">
        <v>1978</v>
      </c>
      <c r="D301" s="2" t="s">
        <v>1979</v>
      </c>
      <c r="E301" s="1" t="s">
        <v>20</v>
      </c>
      <c r="F301" s="1" t="s">
        <v>14</v>
      </c>
      <c r="G301" s="1" t="s">
        <v>15</v>
      </c>
      <c r="H301" s="1" t="s">
        <v>16</v>
      </c>
      <c r="I301" s="1" t="s">
        <v>1980</v>
      </c>
      <c r="J301" s="2" t="s">
        <v>1981</v>
      </c>
      <c r="K301" s="2" t="s">
        <v>1982</v>
      </c>
      <c r="L301" s="2" t="s">
        <v>1983</v>
      </c>
      <c r="M301" s="3" t="str">
        <f>VLOOKUP(G301,справочник!$B$1:$C$94,2,0)</f>
        <v>МСК</v>
      </c>
    </row>
    <row r="302" spans="1:13" ht="42" thickBot="1" x14ac:dyDescent="0.35">
      <c r="A302" s="1" t="s">
        <v>146</v>
      </c>
      <c r="B302" s="1">
        <v>2069</v>
      </c>
      <c r="C302" s="1" t="s">
        <v>1984</v>
      </c>
      <c r="D302" s="2" t="s">
        <v>1985</v>
      </c>
      <c r="E302" s="1" t="s">
        <v>20</v>
      </c>
      <c r="F302" s="1" t="s">
        <v>47</v>
      </c>
      <c r="G302" s="1" t="s">
        <v>48</v>
      </c>
      <c r="H302" s="1" t="s">
        <v>49</v>
      </c>
      <c r="I302" s="1" t="s">
        <v>1987</v>
      </c>
      <c r="J302" s="2" t="s">
        <v>1988</v>
      </c>
      <c r="K302" s="2" t="s">
        <v>1989</v>
      </c>
      <c r="L302" s="2" t="s">
        <v>1986</v>
      </c>
      <c r="M302" s="3" t="str">
        <f>VLOOKUP(G302,справочник!$B$1:$C$94,2,0)</f>
        <v>МСК+2</v>
      </c>
    </row>
    <row r="303" spans="1:13" ht="42" thickBot="1" x14ac:dyDescent="0.35">
      <c r="A303" s="1" t="s">
        <v>146</v>
      </c>
      <c r="B303" s="1">
        <v>2850</v>
      </c>
      <c r="C303" s="1" t="s">
        <v>1990</v>
      </c>
      <c r="D303" s="2" t="s">
        <v>1991</v>
      </c>
      <c r="E303" s="1" t="s">
        <v>20</v>
      </c>
      <c r="F303" s="1" t="s">
        <v>30</v>
      </c>
      <c r="G303" s="1" t="s">
        <v>31</v>
      </c>
      <c r="H303" s="1" t="s">
        <v>32</v>
      </c>
      <c r="I303" s="1" t="s">
        <v>1810</v>
      </c>
      <c r="J303" s="2" t="s">
        <v>1993</v>
      </c>
      <c r="K303" s="2" t="s">
        <v>1994</v>
      </c>
      <c r="L303" s="2" t="s">
        <v>1992</v>
      </c>
      <c r="M303" s="3" t="str">
        <f>VLOOKUP(G303,справочник!$B$1:$C$94,2,0)</f>
        <v>МСК</v>
      </c>
    </row>
    <row r="304" spans="1:13" ht="42" thickBot="1" x14ac:dyDescent="0.35">
      <c r="A304" s="1" t="s">
        <v>146</v>
      </c>
      <c r="B304" s="1">
        <v>2181</v>
      </c>
      <c r="C304" s="1" t="s">
        <v>1995</v>
      </c>
      <c r="D304" s="2" t="s">
        <v>1996</v>
      </c>
      <c r="E304" s="1" t="s">
        <v>20</v>
      </c>
      <c r="F304" s="1" t="s">
        <v>36</v>
      </c>
      <c r="G304" s="1" t="s">
        <v>1181</v>
      </c>
      <c r="H304" s="1" t="s">
        <v>1710</v>
      </c>
      <c r="I304" s="1" t="s">
        <v>1997</v>
      </c>
      <c r="J304" s="2" t="s">
        <v>1998</v>
      </c>
      <c r="K304" s="2" t="s">
        <v>1999</v>
      </c>
      <c r="L304" s="2" t="s">
        <v>2000</v>
      </c>
      <c r="M304" s="3" t="str">
        <f>VLOOKUP(G304,справочник!$B$1:$C$94,2,0)</f>
        <v>МСК+4</v>
      </c>
    </row>
    <row r="305" spans="1:13" ht="55.8" thickBot="1" x14ac:dyDescent="0.35">
      <c r="A305" s="1" t="s">
        <v>146</v>
      </c>
      <c r="B305" s="1">
        <v>2228</v>
      </c>
      <c r="C305" s="1" t="s">
        <v>2001</v>
      </c>
      <c r="D305" s="2" t="s">
        <v>2002</v>
      </c>
      <c r="E305" s="1" t="s">
        <v>20</v>
      </c>
      <c r="F305" s="1" t="s">
        <v>114</v>
      </c>
      <c r="G305" s="1" t="s">
        <v>121</v>
      </c>
      <c r="H305" s="1" t="s">
        <v>122</v>
      </c>
      <c r="I305" s="1" t="s">
        <v>2004</v>
      </c>
      <c r="J305" s="2" t="s">
        <v>2005</v>
      </c>
      <c r="K305" s="2" t="s">
        <v>2006</v>
      </c>
      <c r="L305" s="2" t="s">
        <v>2003</v>
      </c>
      <c r="M305" s="3" t="str">
        <f>VLOOKUP(G305,справочник!$B$1:$C$94,2,0)</f>
        <v>МСК+7</v>
      </c>
    </row>
    <row r="306" spans="1:13" ht="28.2" thickBot="1" x14ac:dyDescent="0.35">
      <c r="A306" s="1" t="s">
        <v>12</v>
      </c>
      <c r="B306" s="1">
        <v>1589</v>
      </c>
      <c r="C306" s="1" t="s">
        <v>2007</v>
      </c>
      <c r="D306" s="2" t="s">
        <v>2008</v>
      </c>
      <c r="E306" s="1" t="s">
        <v>29</v>
      </c>
      <c r="F306" s="1" t="s">
        <v>14</v>
      </c>
      <c r="G306" s="1" t="s">
        <v>15</v>
      </c>
      <c r="H306" s="1" t="s">
        <v>16</v>
      </c>
      <c r="I306" s="1" t="s">
        <v>2009</v>
      </c>
      <c r="J306" s="2" t="s">
        <v>2010</v>
      </c>
      <c r="K306" s="2" t="s">
        <v>2011</v>
      </c>
      <c r="L306" s="2" t="s">
        <v>2012</v>
      </c>
      <c r="M306" s="3" t="str">
        <f>VLOOKUP(G306,справочник!$B$1:$C$94,2,0)</f>
        <v>МСК</v>
      </c>
    </row>
    <row r="307" spans="1:13" ht="42" thickBot="1" x14ac:dyDescent="0.35">
      <c r="A307" s="1" t="s">
        <v>146</v>
      </c>
      <c r="B307" s="1">
        <v>2210</v>
      </c>
      <c r="C307" s="1" t="s">
        <v>2013</v>
      </c>
      <c r="D307" s="2" t="s">
        <v>2014</v>
      </c>
      <c r="E307" s="1" t="s">
        <v>20</v>
      </c>
      <c r="F307" s="1" t="s">
        <v>14</v>
      </c>
      <c r="G307" s="1" t="s">
        <v>15</v>
      </c>
      <c r="H307" s="1" t="s">
        <v>16</v>
      </c>
      <c r="I307" s="1" t="s">
        <v>2016</v>
      </c>
      <c r="J307" s="2" t="s">
        <v>802</v>
      </c>
      <c r="K307" s="2" t="s">
        <v>2017</v>
      </c>
      <c r="L307" s="2" t="s">
        <v>2015</v>
      </c>
      <c r="M307" s="3" t="str">
        <f>VLOOKUP(G307,справочник!$B$1:$C$94,2,0)</f>
        <v>МСК</v>
      </c>
    </row>
    <row r="308" spans="1:13" ht="42" thickBot="1" x14ac:dyDescent="0.35">
      <c r="A308" s="1" t="s">
        <v>146</v>
      </c>
      <c r="B308" s="1">
        <v>1808</v>
      </c>
      <c r="C308" s="1" t="s">
        <v>2018</v>
      </c>
      <c r="D308" s="2" t="s">
        <v>2019</v>
      </c>
      <c r="E308" s="1" t="s">
        <v>20</v>
      </c>
      <c r="F308" s="1" t="s">
        <v>114</v>
      </c>
      <c r="G308" s="1" t="s">
        <v>2020</v>
      </c>
      <c r="H308" s="1" t="s">
        <v>2022</v>
      </c>
      <c r="I308" s="1" t="s">
        <v>2023</v>
      </c>
      <c r="J308" s="2" t="s">
        <v>435</v>
      </c>
      <c r="K308" s="2" t="s">
        <v>2024</v>
      </c>
      <c r="L308" s="2" t="s">
        <v>2021</v>
      </c>
      <c r="M308" s="3" t="str">
        <f>VLOOKUP(G308,справочник!$B$1:$C$94,2,0)</f>
        <v>МСК+7</v>
      </c>
    </row>
    <row r="309" spans="1:13" ht="42" thickBot="1" x14ac:dyDescent="0.35">
      <c r="A309" s="1" t="s">
        <v>146</v>
      </c>
      <c r="B309" s="1">
        <v>2326</v>
      </c>
      <c r="C309" s="1" t="s">
        <v>2025</v>
      </c>
      <c r="D309" s="2" t="s">
        <v>2026</v>
      </c>
      <c r="E309" s="1" t="s">
        <v>20</v>
      </c>
      <c r="F309" s="1" t="s">
        <v>14</v>
      </c>
      <c r="G309" s="1" t="s">
        <v>15</v>
      </c>
      <c r="H309" s="1" t="s">
        <v>16</v>
      </c>
      <c r="I309" s="1" t="s">
        <v>2027</v>
      </c>
      <c r="J309" s="2" t="s">
        <v>2028</v>
      </c>
      <c r="K309" s="2" t="s">
        <v>2029</v>
      </c>
      <c r="L309" s="2" t="s">
        <v>2030</v>
      </c>
      <c r="M309" s="3" t="str">
        <f>VLOOKUP(G309,справочник!$B$1:$C$94,2,0)</f>
        <v>МСК</v>
      </c>
    </row>
    <row r="310" spans="1:13" ht="42" thickBot="1" x14ac:dyDescent="0.35">
      <c r="A310" s="1" t="s">
        <v>168</v>
      </c>
      <c r="B310" s="1">
        <v>355</v>
      </c>
      <c r="C310" s="1" t="s">
        <v>2031</v>
      </c>
      <c r="D310" s="2" t="s">
        <v>2032</v>
      </c>
      <c r="E310" s="1" t="s">
        <v>20</v>
      </c>
      <c r="F310" s="1" t="s">
        <v>14</v>
      </c>
      <c r="G310" s="1" t="s">
        <v>15</v>
      </c>
      <c r="H310" s="1" t="s">
        <v>16</v>
      </c>
      <c r="I310" s="1" t="s">
        <v>2035</v>
      </c>
      <c r="J310" s="2" t="s">
        <v>2036</v>
      </c>
      <c r="K310" s="2" t="s">
        <v>2033</v>
      </c>
      <c r="L310" s="2" t="s">
        <v>2034</v>
      </c>
      <c r="M310" s="3" t="str">
        <f>VLOOKUP(G310,справочник!$B$1:$C$94,2,0)</f>
        <v>МСК</v>
      </c>
    </row>
    <row r="311" spans="1:13" ht="42" thickBot="1" x14ac:dyDescent="0.35">
      <c r="A311" s="1" t="s">
        <v>146</v>
      </c>
      <c r="B311" s="1">
        <v>1922</v>
      </c>
      <c r="C311" s="1" t="s">
        <v>2037</v>
      </c>
      <c r="D311" s="2" t="s">
        <v>2038</v>
      </c>
      <c r="E311" s="1" t="s">
        <v>20</v>
      </c>
      <c r="F311" s="1" t="s">
        <v>14</v>
      </c>
      <c r="G311" s="1" t="s">
        <v>15</v>
      </c>
      <c r="H311" s="1" t="s">
        <v>16</v>
      </c>
      <c r="I311" s="1" t="s">
        <v>2040</v>
      </c>
      <c r="J311" s="2" t="s">
        <v>802</v>
      </c>
      <c r="K311" s="2" t="s">
        <v>2041</v>
      </c>
      <c r="L311" s="2" t="s">
        <v>2039</v>
      </c>
      <c r="M311" s="3" t="str">
        <f>VLOOKUP(G311,справочник!$B$1:$C$94,2,0)</f>
        <v>МСК</v>
      </c>
    </row>
    <row r="312" spans="1:13" ht="42" thickBot="1" x14ac:dyDescent="0.35">
      <c r="A312" s="1" t="s">
        <v>146</v>
      </c>
      <c r="B312" s="1">
        <v>1946</v>
      </c>
      <c r="C312" s="1" t="s">
        <v>2042</v>
      </c>
      <c r="D312" s="2" t="s">
        <v>2043</v>
      </c>
      <c r="E312" s="1" t="s">
        <v>20</v>
      </c>
      <c r="F312" s="1" t="s">
        <v>36</v>
      </c>
      <c r="G312" s="1" t="s">
        <v>1181</v>
      </c>
      <c r="H312" s="1" t="s">
        <v>1710</v>
      </c>
      <c r="I312" s="1" t="s">
        <v>2045</v>
      </c>
      <c r="J312" s="2" t="s">
        <v>848</v>
      </c>
      <c r="K312" s="2" t="s">
        <v>2046</v>
      </c>
      <c r="L312" s="2" t="s">
        <v>2044</v>
      </c>
      <c r="M312" s="3" t="str">
        <f>VLOOKUP(G312,справочник!$B$1:$C$94,2,0)</f>
        <v>МСК+4</v>
      </c>
    </row>
    <row r="313" spans="1:13" ht="42" thickBot="1" x14ac:dyDescent="0.35">
      <c r="A313" s="1" t="s">
        <v>146</v>
      </c>
      <c r="B313" s="1">
        <v>1856</v>
      </c>
      <c r="C313" s="1" t="s">
        <v>2047</v>
      </c>
      <c r="D313" s="2" t="s">
        <v>2048</v>
      </c>
      <c r="E313" s="1" t="s">
        <v>20</v>
      </c>
      <c r="F313" s="1" t="s">
        <v>14</v>
      </c>
      <c r="G313" s="1" t="s">
        <v>15</v>
      </c>
      <c r="H313" s="1" t="s">
        <v>16</v>
      </c>
      <c r="I313" s="1" t="s">
        <v>2049</v>
      </c>
      <c r="J313" s="2" t="s">
        <v>2050</v>
      </c>
      <c r="K313" s="2" t="s">
        <v>2051</v>
      </c>
      <c r="L313" s="2" t="s">
        <v>2052</v>
      </c>
      <c r="M313" s="3" t="str">
        <f>VLOOKUP(G313,справочник!$B$1:$C$94,2,0)</f>
        <v>МСК</v>
      </c>
    </row>
    <row r="314" spans="1:13" ht="42" thickBot="1" x14ac:dyDescent="0.35">
      <c r="A314" s="1" t="s">
        <v>146</v>
      </c>
      <c r="B314" s="1">
        <v>1799</v>
      </c>
      <c r="C314" s="1" t="s">
        <v>2053</v>
      </c>
      <c r="D314" s="2" t="s">
        <v>2054</v>
      </c>
      <c r="E314" s="1" t="s">
        <v>20</v>
      </c>
      <c r="F314" s="1" t="s">
        <v>14</v>
      </c>
      <c r="G314" s="1" t="s">
        <v>43</v>
      </c>
      <c r="H314" s="1" t="s">
        <v>2056</v>
      </c>
      <c r="I314" s="1" t="s">
        <v>2057</v>
      </c>
      <c r="J314" s="2" t="s">
        <v>2058</v>
      </c>
      <c r="K314" s="2" t="s">
        <v>2059</v>
      </c>
      <c r="L314" s="2" t="s">
        <v>2055</v>
      </c>
      <c r="M314" s="3" t="str">
        <f>VLOOKUP(G314,справочник!$B$1:$C$94,2,0)</f>
        <v>МСК</v>
      </c>
    </row>
    <row r="315" spans="1:13" ht="42" thickBot="1" x14ac:dyDescent="0.35">
      <c r="A315" s="1" t="s">
        <v>146</v>
      </c>
      <c r="B315" s="1">
        <v>1882</v>
      </c>
      <c r="C315" s="1" t="s">
        <v>2060</v>
      </c>
      <c r="D315" s="2" t="s">
        <v>2061</v>
      </c>
      <c r="E315" s="1" t="s">
        <v>20</v>
      </c>
      <c r="F315" s="1" t="s">
        <v>30</v>
      </c>
      <c r="G315" s="1" t="s">
        <v>31</v>
      </c>
      <c r="H315" s="1" t="s">
        <v>32</v>
      </c>
      <c r="I315" s="1" t="s">
        <v>2062</v>
      </c>
      <c r="J315" s="2" t="s">
        <v>2063</v>
      </c>
      <c r="K315" s="2" t="s">
        <v>2063</v>
      </c>
      <c r="L315" s="2" t="s">
        <v>2064</v>
      </c>
      <c r="M315" s="3" t="str">
        <f>VLOOKUP(G315,справочник!$B$1:$C$94,2,0)</f>
        <v>МСК</v>
      </c>
    </row>
    <row r="316" spans="1:13" ht="42" thickBot="1" x14ac:dyDescent="0.35">
      <c r="A316" s="1" t="s">
        <v>146</v>
      </c>
      <c r="B316" s="1">
        <v>2124</v>
      </c>
      <c r="C316" s="1" t="s">
        <v>2065</v>
      </c>
      <c r="D316" s="2" t="s">
        <v>2066</v>
      </c>
      <c r="E316" s="1" t="s">
        <v>20</v>
      </c>
      <c r="F316" s="1" t="s">
        <v>47</v>
      </c>
      <c r="G316" s="1" t="s">
        <v>48</v>
      </c>
      <c r="H316" s="1" t="s">
        <v>49</v>
      </c>
      <c r="I316" s="1" t="s">
        <v>1987</v>
      </c>
      <c r="J316" s="2" t="s">
        <v>2068</v>
      </c>
      <c r="K316" s="2" t="s">
        <v>2069</v>
      </c>
      <c r="L316" s="2" t="s">
        <v>2067</v>
      </c>
      <c r="M316" s="3" t="str">
        <f>VLOOKUP(G316,справочник!$B$1:$C$94,2,0)</f>
        <v>МСК+2</v>
      </c>
    </row>
    <row r="317" spans="1:13" ht="55.8" thickBot="1" x14ac:dyDescent="0.35">
      <c r="A317" s="1" t="s">
        <v>146</v>
      </c>
      <c r="B317" s="1">
        <v>1824</v>
      </c>
      <c r="C317" s="1" t="s">
        <v>2070</v>
      </c>
      <c r="D317" s="2" t="s">
        <v>2071</v>
      </c>
      <c r="E317" s="1" t="s">
        <v>20</v>
      </c>
      <c r="F317" s="1" t="s">
        <v>36</v>
      </c>
      <c r="G317" s="1" t="s">
        <v>1181</v>
      </c>
      <c r="H317" s="1" t="s">
        <v>1710</v>
      </c>
      <c r="I317" s="1" t="s">
        <v>2073</v>
      </c>
      <c r="J317" s="2" t="s">
        <v>2074</v>
      </c>
      <c r="K317" s="2" t="s">
        <v>2075</v>
      </c>
      <c r="L317" s="2" t="s">
        <v>2072</v>
      </c>
      <c r="M317" s="3" t="str">
        <f>VLOOKUP(G317,справочник!$B$1:$C$94,2,0)</f>
        <v>МСК+4</v>
      </c>
    </row>
    <row r="318" spans="1:13" ht="42" thickBot="1" x14ac:dyDescent="0.35">
      <c r="A318" s="1" t="s">
        <v>146</v>
      </c>
      <c r="B318" s="1">
        <v>2090</v>
      </c>
      <c r="C318" s="1" t="s">
        <v>2076</v>
      </c>
      <c r="D318" s="2" t="s">
        <v>2077</v>
      </c>
      <c r="E318" s="1" t="s">
        <v>20</v>
      </c>
      <c r="F318" s="1" t="s">
        <v>14</v>
      </c>
      <c r="G318" s="1" t="s">
        <v>15</v>
      </c>
      <c r="H318" s="1" t="s">
        <v>16</v>
      </c>
      <c r="I318" s="1" t="s">
        <v>2079</v>
      </c>
      <c r="J318" s="2" t="s">
        <v>2080</v>
      </c>
      <c r="K318" s="2" t="s">
        <v>2081</v>
      </c>
      <c r="L318" s="2" t="s">
        <v>2078</v>
      </c>
      <c r="M318" s="3" t="str">
        <f>VLOOKUP(G318,справочник!$B$1:$C$94,2,0)</f>
        <v>МСК</v>
      </c>
    </row>
    <row r="319" spans="1:13" ht="42" thickBot="1" x14ac:dyDescent="0.35">
      <c r="A319" s="1" t="s">
        <v>146</v>
      </c>
      <c r="B319" s="1">
        <v>2078</v>
      </c>
      <c r="C319" s="1" t="s">
        <v>2082</v>
      </c>
      <c r="D319" s="2" t="s">
        <v>2083</v>
      </c>
      <c r="E319" s="1" t="s">
        <v>20</v>
      </c>
      <c r="F319" s="1" t="s">
        <v>47</v>
      </c>
      <c r="G319" s="1" t="s">
        <v>48</v>
      </c>
      <c r="H319" s="1" t="s">
        <v>49</v>
      </c>
      <c r="I319" s="1" t="s">
        <v>2085</v>
      </c>
      <c r="J319" s="2" t="s">
        <v>2086</v>
      </c>
      <c r="K319" s="2" t="s">
        <v>2084</v>
      </c>
      <c r="L319" s="2" t="s">
        <v>2087</v>
      </c>
      <c r="M319" s="3" t="str">
        <f>VLOOKUP(G319,справочник!$B$1:$C$94,2,0)</f>
        <v>МСК+2</v>
      </c>
    </row>
    <row r="320" spans="1:13" ht="42" thickBot="1" x14ac:dyDescent="0.35">
      <c r="A320" s="1" t="s">
        <v>12</v>
      </c>
      <c r="B320" s="1">
        <v>3193</v>
      </c>
      <c r="C320" s="1" t="s">
        <v>2088</v>
      </c>
      <c r="D320" s="2" t="s">
        <v>2089</v>
      </c>
      <c r="E320" s="1" t="s">
        <v>29</v>
      </c>
      <c r="F320" s="1" t="s">
        <v>47</v>
      </c>
      <c r="G320" s="1" t="s">
        <v>48</v>
      </c>
      <c r="H320" s="1" t="s">
        <v>49</v>
      </c>
      <c r="I320" s="1" t="s">
        <v>2090</v>
      </c>
      <c r="J320" s="2" t="s">
        <v>2091</v>
      </c>
      <c r="K320" s="2" t="s">
        <v>2092</v>
      </c>
      <c r="L320" s="2" t="s">
        <v>2093</v>
      </c>
      <c r="M320" s="3" t="str">
        <f>VLOOKUP(G320,справочник!$B$1:$C$94,2,0)</f>
        <v>МСК+2</v>
      </c>
    </row>
    <row r="321" spans="1:13" ht="42" thickBot="1" x14ac:dyDescent="0.35">
      <c r="A321" s="1" t="s">
        <v>12</v>
      </c>
      <c r="B321" s="1">
        <v>997</v>
      </c>
      <c r="C321" s="1" t="s">
        <v>2094</v>
      </c>
      <c r="D321" s="2" t="s">
        <v>2095</v>
      </c>
      <c r="E321" s="1" t="s">
        <v>29</v>
      </c>
      <c r="F321" s="1" t="s">
        <v>14</v>
      </c>
      <c r="G321" s="1" t="s">
        <v>15</v>
      </c>
      <c r="H321" s="1" t="s">
        <v>16</v>
      </c>
      <c r="I321" s="1" t="s">
        <v>2096</v>
      </c>
      <c r="J321" s="2" t="s">
        <v>2097</v>
      </c>
      <c r="K321" s="2" t="s">
        <v>2098</v>
      </c>
      <c r="L321" s="2" t="s">
        <v>2099</v>
      </c>
      <c r="M321" s="3" t="str">
        <f>VLOOKUP(G321,справочник!$B$1:$C$94,2,0)</f>
        <v>МСК</v>
      </c>
    </row>
    <row r="322" spans="1:13" ht="42" thickBot="1" x14ac:dyDescent="0.35">
      <c r="A322" s="1" t="s">
        <v>146</v>
      </c>
      <c r="B322" s="1">
        <v>2101</v>
      </c>
      <c r="C322" s="1" t="s">
        <v>2100</v>
      </c>
      <c r="D322" s="2" t="s">
        <v>2101</v>
      </c>
      <c r="E322" s="1" t="s">
        <v>20</v>
      </c>
      <c r="F322" s="1" t="s">
        <v>114</v>
      </c>
      <c r="G322" s="1" t="s">
        <v>338</v>
      </c>
      <c r="H322" s="1" t="s">
        <v>339</v>
      </c>
      <c r="I322" s="1" t="s">
        <v>2103</v>
      </c>
      <c r="J322" s="2" t="s">
        <v>381</v>
      </c>
      <c r="K322" s="2" t="s">
        <v>2104</v>
      </c>
      <c r="L322" s="2" t="s">
        <v>2102</v>
      </c>
      <c r="M322" s="3" t="str">
        <f>VLOOKUP(G322,справочник!$B$1:$C$94,2,0)</f>
        <v>МСК+6</v>
      </c>
    </row>
    <row r="323" spans="1:13" ht="42" thickBot="1" x14ac:dyDescent="0.35">
      <c r="A323" s="1" t="s">
        <v>146</v>
      </c>
      <c r="B323" s="1">
        <v>1853</v>
      </c>
      <c r="C323" s="1" t="s">
        <v>2105</v>
      </c>
      <c r="D323" s="2" t="s">
        <v>2106</v>
      </c>
      <c r="E323" s="1" t="s">
        <v>20</v>
      </c>
      <c r="F323" s="1" t="s">
        <v>222</v>
      </c>
      <c r="G323" s="1" t="s">
        <v>727</v>
      </c>
      <c r="H323" s="1" t="s">
        <v>728</v>
      </c>
      <c r="I323" s="1" t="s">
        <v>2107</v>
      </c>
      <c r="J323" s="2" t="s">
        <v>2108</v>
      </c>
      <c r="K323" s="2" t="s">
        <v>2109</v>
      </c>
      <c r="L323" s="2" t="s">
        <v>2110</v>
      </c>
      <c r="M323" s="3" t="str">
        <f>VLOOKUP(G323,справочник!$B$1:$C$94,2,0)</f>
        <v>МСК</v>
      </c>
    </row>
    <row r="324" spans="1:13" ht="42" thickBot="1" x14ac:dyDescent="0.35">
      <c r="A324" s="1" t="s">
        <v>146</v>
      </c>
      <c r="B324" s="1">
        <v>2065</v>
      </c>
      <c r="C324" s="1" t="s">
        <v>2111</v>
      </c>
      <c r="D324" s="2" t="s">
        <v>2112</v>
      </c>
      <c r="E324" s="1" t="s">
        <v>20</v>
      </c>
      <c r="F324" s="1" t="s">
        <v>14</v>
      </c>
      <c r="G324" s="1" t="s">
        <v>15</v>
      </c>
      <c r="H324" s="1" t="s">
        <v>16</v>
      </c>
      <c r="I324" s="1" t="s">
        <v>2114</v>
      </c>
      <c r="J324" s="2" t="s">
        <v>2115</v>
      </c>
      <c r="K324" s="2" t="s">
        <v>2113</v>
      </c>
      <c r="L324" s="2" t="s">
        <v>2116</v>
      </c>
      <c r="M324" s="3" t="str">
        <f>VLOOKUP(G324,справочник!$B$1:$C$94,2,0)</f>
        <v>МСК</v>
      </c>
    </row>
    <row r="325" spans="1:13" ht="42" thickBot="1" x14ac:dyDescent="0.35">
      <c r="A325" s="1" t="s">
        <v>146</v>
      </c>
      <c r="B325" s="1">
        <v>2008</v>
      </c>
      <c r="C325" s="1" t="s">
        <v>2117</v>
      </c>
      <c r="D325" s="2" t="s">
        <v>2118</v>
      </c>
      <c r="E325" s="1" t="s">
        <v>20</v>
      </c>
      <c r="F325" s="1" t="s">
        <v>47</v>
      </c>
      <c r="G325" s="1" t="s">
        <v>48</v>
      </c>
      <c r="H325" s="1" t="s">
        <v>49</v>
      </c>
      <c r="I325" s="1" t="s">
        <v>2119</v>
      </c>
      <c r="J325" s="2" t="s">
        <v>2120</v>
      </c>
      <c r="K325" s="2" t="s">
        <v>2121</v>
      </c>
      <c r="L325" s="2" t="s">
        <v>2122</v>
      </c>
      <c r="M325" s="3" t="str">
        <f>VLOOKUP(G325,справочник!$B$1:$C$94,2,0)</f>
        <v>МСК+2</v>
      </c>
    </row>
    <row r="326" spans="1:13" ht="42" thickBot="1" x14ac:dyDescent="0.35">
      <c r="A326" s="1" t="s">
        <v>146</v>
      </c>
      <c r="B326" s="1">
        <v>1850</v>
      </c>
      <c r="C326" s="1" t="s">
        <v>2123</v>
      </c>
      <c r="D326" s="2" t="s">
        <v>2124</v>
      </c>
      <c r="E326" s="1" t="s">
        <v>20</v>
      </c>
      <c r="F326" s="1" t="s">
        <v>14</v>
      </c>
      <c r="G326" s="1" t="s">
        <v>15</v>
      </c>
      <c r="H326" s="1" t="s">
        <v>16</v>
      </c>
      <c r="I326" s="1" t="s">
        <v>2125</v>
      </c>
      <c r="J326" s="2" t="s">
        <v>2126</v>
      </c>
      <c r="K326" s="2" t="s">
        <v>2127</v>
      </c>
      <c r="L326" s="2" t="s">
        <v>2128</v>
      </c>
      <c r="M326" s="3" t="str">
        <f>VLOOKUP(G326,справочник!$B$1:$C$94,2,0)</f>
        <v>МСК</v>
      </c>
    </row>
    <row r="327" spans="1:13" ht="28.2" thickBot="1" x14ac:dyDescent="0.35">
      <c r="A327" s="1" t="s">
        <v>12</v>
      </c>
      <c r="B327" s="1">
        <v>2191</v>
      </c>
      <c r="C327" s="1" t="s">
        <v>2129</v>
      </c>
      <c r="D327" s="2" t="s">
        <v>2130</v>
      </c>
      <c r="E327" s="1" t="s">
        <v>29</v>
      </c>
      <c r="F327" s="1" t="s">
        <v>109</v>
      </c>
      <c r="G327" s="1" t="s">
        <v>1352</v>
      </c>
      <c r="H327" s="1" t="s">
        <v>1353</v>
      </c>
      <c r="I327" s="1" t="s">
        <v>2131</v>
      </c>
      <c r="J327" s="2" t="s">
        <v>2132</v>
      </c>
      <c r="K327" s="2" t="s">
        <v>2133</v>
      </c>
      <c r="L327" s="2" t="s">
        <v>2134</v>
      </c>
      <c r="M327" s="3" t="str">
        <f>VLOOKUP(G327,справочник!$B$1:$C$94,2,0)</f>
        <v>МСК</v>
      </c>
    </row>
    <row r="328" spans="1:13" ht="69.599999999999994" thickBot="1" x14ac:dyDescent="0.35">
      <c r="A328" s="1" t="s">
        <v>146</v>
      </c>
      <c r="B328" s="1">
        <v>2081</v>
      </c>
      <c r="C328" s="1" t="s">
        <v>2135</v>
      </c>
      <c r="D328" s="2" t="s">
        <v>2136</v>
      </c>
      <c r="E328" s="1" t="s">
        <v>20</v>
      </c>
      <c r="F328" s="1" t="s">
        <v>30</v>
      </c>
      <c r="G328" s="1" t="s">
        <v>31</v>
      </c>
      <c r="H328" s="1" t="s">
        <v>32</v>
      </c>
      <c r="I328" s="1" t="s">
        <v>2137</v>
      </c>
      <c r="J328" s="2" t="s">
        <v>2138</v>
      </c>
      <c r="K328" s="2" t="s">
        <v>2139</v>
      </c>
      <c r="L328" s="2" t="s">
        <v>2140</v>
      </c>
      <c r="M328" s="3" t="str">
        <f>VLOOKUP(G328,справочник!$B$1:$C$94,2,0)</f>
        <v>МСК</v>
      </c>
    </row>
    <row r="329" spans="1:13" ht="42" thickBot="1" x14ac:dyDescent="0.35">
      <c r="A329" s="1" t="s">
        <v>146</v>
      </c>
      <c r="B329" s="1">
        <v>1925</v>
      </c>
      <c r="C329" s="1" t="s">
        <v>2141</v>
      </c>
      <c r="D329" s="2" t="s">
        <v>2142</v>
      </c>
      <c r="E329" s="1" t="s">
        <v>20</v>
      </c>
      <c r="F329" s="1" t="s">
        <v>14</v>
      </c>
      <c r="G329" s="1" t="s">
        <v>15</v>
      </c>
      <c r="H329" s="1" t="s">
        <v>16</v>
      </c>
      <c r="I329" s="1" t="s">
        <v>2145</v>
      </c>
      <c r="J329" s="2" t="s">
        <v>2146</v>
      </c>
      <c r="K329" s="2" t="s">
        <v>2143</v>
      </c>
      <c r="L329" s="2" t="s">
        <v>2144</v>
      </c>
      <c r="M329" s="3" t="str">
        <f>VLOOKUP(G329,справочник!$B$1:$C$94,2,0)</f>
        <v>МСК</v>
      </c>
    </row>
    <row r="330" spans="1:13" ht="42" thickBot="1" x14ac:dyDescent="0.35">
      <c r="A330" s="1" t="s">
        <v>146</v>
      </c>
      <c r="B330" s="1">
        <v>1913</v>
      </c>
      <c r="C330" s="1" t="s">
        <v>2147</v>
      </c>
      <c r="D330" s="2" t="s">
        <v>2148</v>
      </c>
      <c r="E330" s="1" t="s">
        <v>20</v>
      </c>
      <c r="F330" s="1" t="s">
        <v>36</v>
      </c>
      <c r="G330" s="1" t="s">
        <v>1181</v>
      </c>
      <c r="H330" s="1" t="s">
        <v>1710</v>
      </c>
      <c r="I330" s="1" t="s">
        <v>2149</v>
      </c>
      <c r="J330" s="2" t="s">
        <v>2150</v>
      </c>
      <c r="K330" s="2" t="s">
        <v>2150</v>
      </c>
      <c r="L330" s="2" t="s">
        <v>2150</v>
      </c>
      <c r="M330" s="3" t="str">
        <f>VLOOKUP(G330,справочник!$B$1:$C$94,2,0)</f>
        <v>МСК+4</v>
      </c>
    </row>
    <row r="331" spans="1:13" ht="42" thickBot="1" x14ac:dyDescent="0.35">
      <c r="A331" s="1" t="s">
        <v>146</v>
      </c>
      <c r="B331" s="1">
        <v>2045</v>
      </c>
      <c r="C331" s="1" t="s">
        <v>2151</v>
      </c>
      <c r="D331" s="2" t="s">
        <v>2152</v>
      </c>
      <c r="E331" s="1" t="s">
        <v>20</v>
      </c>
      <c r="F331" s="1" t="s">
        <v>114</v>
      </c>
      <c r="G331" s="1" t="s">
        <v>418</v>
      </c>
      <c r="H331" s="1" t="s">
        <v>433</v>
      </c>
      <c r="I331" s="1" t="s">
        <v>2154</v>
      </c>
      <c r="J331" s="2" t="s">
        <v>467</v>
      </c>
      <c r="K331" s="2" t="s">
        <v>2155</v>
      </c>
      <c r="L331" s="2" t="s">
        <v>2153</v>
      </c>
      <c r="M331" s="3" t="str">
        <f>VLOOKUP(G331,справочник!$B$1:$C$94,2,0)</f>
        <v>МСК+5</v>
      </c>
    </row>
    <row r="332" spans="1:13" ht="42" thickBot="1" x14ac:dyDescent="0.35">
      <c r="A332" s="1" t="s">
        <v>146</v>
      </c>
      <c r="B332" s="1">
        <v>2896</v>
      </c>
      <c r="C332" s="1" t="s">
        <v>2156</v>
      </c>
      <c r="D332" s="2" t="s">
        <v>2157</v>
      </c>
      <c r="E332" s="1" t="s">
        <v>20</v>
      </c>
      <c r="F332" s="1" t="s">
        <v>36</v>
      </c>
      <c r="G332" s="1" t="s">
        <v>2158</v>
      </c>
      <c r="H332" s="1" t="s">
        <v>2159</v>
      </c>
      <c r="I332" s="1" t="s">
        <v>2160</v>
      </c>
      <c r="J332" s="2" t="s">
        <v>2161</v>
      </c>
      <c r="K332" s="2" t="s">
        <v>2162</v>
      </c>
      <c r="L332" s="2" t="s">
        <v>2163</v>
      </c>
      <c r="M332" s="3" t="str">
        <f>VLOOKUP(G332,справочник!$B$1:$C$94,2,0)</f>
        <v>МСК+4</v>
      </c>
    </row>
    <row r="333" spans="1:13" ht="42" thickBot="1" x14ac:dyDescent="0.35">
      <c r="A333" s="1" t="s">
        <v>146</v>
      </c>
      <c r="B333" s="1">
        <v>2268</v>
      </c>
      <c r="C333" s="1" t="s">
        <v>2164</v>
      </c>
      <c r="D333" s="2" t="s">
        <v>2165</v>
      </c>
      <c r="E333" s="1" t="s">
        <v>20</v>
      </c>
      <c r="F333" s="1" t="s">
        <v>114</v>
      </c>
      <c r="G333" s="1" t="s">
        <v>2166</v>
      </c>
      <c r="H333" s="1" t="s">
        <v>2167</v>
      </c>
      <c r="I333" s="1" t="s">
        <v>2168</v>
      </c>
      <c r="J333" s="2" t="s">
        <v>2169</v>
      </c>
      <c r="K333" s="2" t="s">
        <v>2170</v>
      </c>
      <c r="L333" s="2" t="s">
        <v>2171</v>
      </c>
      <c r="M333" s="3" t="str">
        <f>VLOOKUP(G333,справочник!$B$1:$C$94,2,0)</f>
        <v>МСК+8</v>
      </c>
    </row>
    <row r="334" spans="1:13" ht="42" thickBot="1" x14ac:dyDescent="0.35">
      <c r="A334" s="1" t="s">
        <v>146</v>
      </c>
      <c r="B334" s="1">
        <v>2501</v>
      </c>
      <c r="C334" s="1" t="s">
        <v>2172</v>
      </c>
      <c r="D334" s="2" t="s">
        <v>2173</v>
      </c>
      <c r="E334" s="1" t="s">
        <v>20</v>
      </c>
      <c r="F334" s="1" t="s">
        <v>14</v>
      </c>
      <c r="G334" s="1" t="s">
        <v>15</v>
      </c>
      <c r="H334" s="1" t="s">
        <v>1764</v>
      </c>
      <c r="I334" s="1" t="s">
        <v>2174</v>
      </c>
      <c r="J334" s="2" t="s">
        <v>2175</v>
      </c>
      <c r="K334" s="2" t="s">
        <v>2175</v>
      </c>
      <c r="L334" s="2" t="s">
        <v>2175</v>
      </c>
      <c r="M334" s="3" t="str">
        <f>VLOOKUP(G334,справочник!$B$1:$C$94,2,0)</f>
        <v>МСК</v>
      </c>
    </row>
    <row r="335" spans="1:13" ht="69.599999999999994" thickBot="1" x14ac:dyDescent="0.35">
      <c r="A335" s="1" t="s">
        <v>146</v>
      </c>
      <c r="B335" s="1">
        <v>3006</v>
      </c>
      <c r="C335" s="1" t="s">
        <v>2176</v>
      </c>
      <c r="D335" s="2" t="s">
        <v>2177</v>
      </c>
      <c r="E335" s="1" t="s">
        <v>20</v>
      </c>
      <c r="F335" s="1" t="s">
        <v>14</v>
      </c>
      <c r="G335" s="1" t="s">
        <v>15</v>
      </c>
      <c r="H335" s="1" t="s">
        <v>16</v>
      </c>
      <c r="I335" s="1" t="s">
        <v>2178</v>
      </c>
      <c r="J335" s="2" t="s">
        <v>2179</v>
      </c>
      <c r="K335" s="2" t="s">
        <v>2179</v>
      </c>
      <c r="L335" s="2" t="s">
        <v>2179</v>
      </c>
      <c r="M335" s="3" t="str">
        <f>VLOOKUP(G335,справочник!$B$1:$C$94,2,0)</f>
        <v>МСК</v>
      </c>
    </row>
    <row r="336" spans="1:13" ht="42" thickBot="1" x14ac:dyDescent="0.35">
      <c r="A336" s="1" t="s">
        <v>146</v>
      </c>
      <c r="B336" s="1">
        <v>2135</v>
      </c>
      <c r="C336" s="1" t="s">
        <v>2180</v>
      </c>
      <c r="D336" s="2" t="s">
        <v>2181</v>
      </c>
      <c r="E336" s="1" t="s">
        <v>20</v>
      </c>
      <c r="F336" s="1" t="s">
        <v>14</v>
      </c>
      <c r="G336" s="1" t="s">
        <v>15</v>
      </c>
      <c r="H336" s="1" t="s">
        <v>16</v>
      </c>
      <c r="I336" s="1" t="s">
        <v>2182</v>
      </c>
      <c r="J336" s="2" t="s">
        <v>2183</v>
      </c>
      <c r="K336" s="2" t="s">
        <v>2184</v>
      </c>
      <c r="L336" s="2" t="s">
        <v>2185</v>
      </c>
      <c r="M336" s="3" t="str">
        <f>VLOOKUP(G336,справочник!$B$1:$C$94,2,0)</f>
        <v>МСК</v>
      </c>
    </row>
    <row r="337" spans="1:13" ht="42" thickBot="1" x14ac:dyDescent="0.35">
      <c r="A337" s="1" t="s">
        <v>146</v>
      </c>
      <c r="B337" s="1">
        <v>1937</v>
      </c>
      <c r="C337" s="1" t="s">
        <v>2186</v>
      </c>
      <c r="D337" s="2" t="s">
        <v>2187</v>
      </c>
      <c r="E337" s="1" t="s">
        <v>20</v>
      </c>
      <c r="F337" s="1" t="s">
        <v>36</v>
      </c>
      <c r="G337" s="1" t="s">
        <v>1181</v>
      </c>
      <c r="H337" s="1" t="s">
        <v>1710</v>
      </c>
      <c r="I337" s="1" t="s">
        <v>2189</v>
      </c>
      <c r="J337" s="2" t="s">
        <v>381</v>
      </c>
      <c r="K337" s="2" t="s">
        <v>2190</v>
      </c>
      <c r="L337" s="2" t="s">
        <v>2188</v>
      </c>
      <c r="M337" s="3" t="str">
        <f>VLOOKUP(G337,справочник!$B$1:$C$94,2,0)</f>
        <v>МСК+4</v>
      </c>
    </row>
    <row r="338" spans="1:13" ht="28.2" thickBot="1" x14ac:dyDescent="0.35">
      <c r="A338" s="1" t="s">
        <v>12</v>
      </c>
      <c r="B338" s="1">
        <v>920</v>
      </c>
      <c r="C338" s="1" t="s">
        <v>2191</v>
      </c>
      <c r="D338" s="2" t="s">
        <v>2192</v>
      </c>
      <c r="E338" s="1" t="s">
        <v>29</v>
      </c>
      <c r="F338" s="1" t="s">
        <v>14</v>
      </c>
      <c r="G338" s="1" t="s">
        <v>15</v>
      </c>
      <c r="H338" s="1" t="s">
        <v>16</v>
      </c>
      <c r="I338" s="1" t="s">
        <v>2194</v>
      </c>
      <c r="J338" s="2" t="s">
        <v>2195</v>
      </c>
      <c r="K338" s="2" t="s">
        <v>2196</v>
      </c>
      <c r="L338" s="2" t="s">
        <v>2193</v>
      </c>
      <c r="M338" s="3" t="str">
        <f>VLOOKUP(G338,справочник!$B$1:$C$94,2,0)</f>
        <v>МСК</v>
      </c>
    </row>
    <row r="339" spans="1:13" ht="55.8" thickBot="1" x14ac:dyDescent="0.35">
      <c r="A339" s="1" t="s">
        <v>146</v>
      </c>
      <c r="B339" s="1">
        <v>2107</v>
      </c>
      <c r="C339" s="1" t="s">
        <v>2197</v>
      </c>
      <c r="D339" s="2" t="s">
        <v>2198</v>
      </c>
      <c r="E339" s="1" t="s">
        <v>20</v>
      </c>
      <c r="F339" s="1" t="s">
        <v>36</v>
      </c>
      <c r="G339" s="1" t="s">
        <v>1181</v>
      </c>
      <c r="H339" s="1" t="s">
        <v>1710</v>
      </c>
      <c r="I339" s="1" t="s">
        <v>2200</v>
      </c>
      <c r="J339" s="2" t="s">
        <v>381</v>
      </c>
      <c r="K339" s="2" t="s">
        <v>2201</v>
      </c>
      <c r="L339" s="2" t="s">
        <v>2199</v>
      </c>
      <c r="M339" s="3" t="str">
        <f>VLOOKUP(G339,справочник!$B$1:$C$94,2,0)</f>
        <v>МСК+4</v>
      </c>
    </row>
    <row r="340" spans="1:13" ht="42" thickBot="1" x14ac:dyDescent="0.35">
      <c r="A340" s="1" t="s">
        <v>146</v>
      </c>
      <c r="B340" s="1">
        <v>2130</v>
      </c>
      <c r="C340" s="1" t="s">
        <v>2202</v>
      </c>
      <c r="D340" s="2" t="s">
        <v>2203</v>
      </c>
      <c r="E340" s="1" t="s">
        <v>20</v>
      </c>
      <c r="F340" s="1" t="s">
        <v>14</v>
      </c>
      <c r="G340" s="1" t="s">
        <v>15</v>
      </c>
      <c r="H340" s="1" t="s">
        <v>16</v>
      </c>
      <c r="I340" s="1" t="s">
        <v>2204</v>
      </c>
      <c r="J340" s="2" t="s">
        <v>2205</v>
      </c>
      <c r="K340" s="2" t="s">
        <v>2206</v>
      </c>
      <c r="L340" s="2" t="s">
        <v>2207</v>
      </c>
      <c r="M340" s="3" t="str">
        <f>VLOOKUP(G340,справочник!$B$1:$C$94,2,0)</f>
        <v>МСК</v>
      </c>
    </row>
    <row r="341" spans="1:13" ht="42" thickBot="1" x14ac:dyDescent="0.35">
      <c r="A341" s="1" t="s">
        <v>146</v>
      </c>
      <c r="B341" s="1">
        <v>2138</v>
      </c>
      <c r="C341" s="1" t="s">
        <v>2208</v>
      </c>
      <c r="D341" s="2" t="s">
        <v>2209</v>
      </c>
      <c r="E341" s="1" t="s">
        <v>20</v>
      </c>
      <c r="F341" s="1" t="s">
        <v>14</v>
      </c>
      <c r="G341" s="1" t="s">
        <v>15</v>
      </c>
      <c r="H341" s="1" t="s">
        <v>16</v>
      </c>
      <c r="I341" s="1" t="s">
        <v>2211</v>
      </c>
      <c r="J341" s="2" t="s">
        <v>2212</v>
      </c>
      <c r="K341" s="2" t="s">
        <v>2213</v>
      </c>
      <c r="L341" s="2" t="s">
        <v>2210</v>
      </c>
      <c r="M341" s="3" t="str">
        <f>VLOOKUP(G341,справочник!$B$1:$C$94,2,0)</f>
        <v>МСК</v>
      </c>
    </row>
    <row r="342" spans="1:13" ht="42" thickBot="1" x14ac:dyDescent="0.35">
      <c r="A342" s="1" t="s">
        <v>146</v>
      </c>
      <c r="B342" s="1">
        <v>2310</v>
      </c>
      <c r="C342" s="1" t="s">
        <v>2214</v>
      </c>
      <c r="D342" s="2" t="s">
        <v>2215</v>
      </c>
      <c r="E342" s="1" t="s">
        <v>20</v>
      </c>
      <c r="F342" s="1" t="s">
        <v>114</v>
      </c>
      <c r="G342" s="1" t="s">
        <v>418</v>
      </c>
      <c r="H342" s="1" t="s">
        <v>433</v>
      </c>
      <c r="I342" s="1" t="s">
        <v>2154</v>
      </c>
      <c r="J342" s="2" t="s">
        <v>467</v>
      </c>
      <c r="K342" s="2" t="s">
        <v>2217</v>
      </c>
      <c r="L342" s="2" t="s">
        <v>2216</v>
      </c>
      <c r="M342" s="3" t="str">
        <f>VLOOKUP(G342,справочник!$B$1:$C$94,2,0)</f>
        <v>МСК+5</v>
      </c>
    </row>
    <row r="343" spans="1:13" ht="42" thickBot="1" x14ac:dyDescent="0.35">
      <c r="A343" s="1" t="s">
        <v>146</v>
      </c>
      <c r="B343" s="1">
        <v>2083</v>
      </c>
      <c r="C343" s="1" t="s">
        <v>2218</v>
      </c>
      <c r="D343" s="2" t="s">
        <v>2219</v>
      </c>
      <c r="E343" s="1" t="s">
        <v>20</v>
      </c>
      <c r="F343" s="1" t="s">
        <v>14</v>
      </c>
      <c r="G343" s="1" t="s">
        <v>15</v>
      </c>
      <c r="H343" s="1" t="s">
        <v>16</v>
      </c>
      <c r="I343" s="1" t="s">
        <v>2221</v>
      </c>
      <c r="J343" s="2" t="s">
        <v>2222</v>
      </c>
      <c r="K343" s="2" t="s">
        <v>2223</v>
      </c>
      <c r="L343" s="2" t="s">
        <v>2220</v>
      </c>
      <c r="M343" s="3" t="str">
        <f>VLOOKUP(G343,справочник!$B$1:$C$94,2,0)</f>
        <v>МСК</v>
      </c>
    </row>
    <row r="344" spans="1:13" ht="42" thickBot="1" x14ac:dyDescent="0.35">
      <c r="A344" s="1" t="s">
        <v>146</v>
      </c>
      <c r="B344" s="1">
        <v>1987</v>
      </c>
      <c r="C344" s="1" t="s">
        <v>2224</v>
      </c>
      <c r="D344" s="2" t="s">
        <v>2225</v>
      </c>
      <c r="E344" s="1" t="s">
        <v>20</v>
      </c>
      <c r="F344" s="1" t="s">
        <v>36</v>
      </c>
      <c r="G344" s="1" t="s">
        <v>2158</v>
      </c>
      <c r="H344" s="1" t="s">
        <v>2159</v>
      </c>
      <c r="I344" s="1" t="s">
        <v>2227</v>
      </c>
      <c r="J344" s="2" t="s">
        <v>2228</v>
      </c>
      <c r="K344" s="2" t="s">
        <v>2229</v>
      </c>
      <c r="L344" s="2" t="s">
        <v>2226</v>
      </c>
      <c r="M344" s="3" t="str">
        <f>VLOOKUP(G344,справочник!$B$1:$C$94,2,0)</f>
        <v>МСК+4</v>
      </c>
    </row>
    <row r="345" spans="1:13" ht="42" thickBot="1" x14ac:dyDescent="0.35">
      <c r="A345" s="1" t="s">
        <v>146</v>
      </c>
      <c r="B345" s="1">
        <v>2029</v>
      </c>
      <c r="C345" s="1" t="s">
        <v>2230</v>
      </c>
      <c r="D345" s="2" t="s">
        <v>2231</v>
      </c>
      <c r="E345" s="1" t="s">
        <v>20</v>
      </c>
      <c r="F345" s="1" t="s">
        <v>47</v>
      </c>
      <c r="G345" s="1" t="s">
        <v>48</v>
      </c>
      <c r="H345" s="1" t="s">
        <v>49</v>
      </c>
      <c r="I345" s="1" t="s">
        <v>2232</v>
      </c>
      <c r="J345" s="2" t="s">
        <v>2233</v>
      </c>
      <c r="K345" s="2" t="s">
        <v>2234</v>
      </c>
      <c r="L345" s="2" t="s">
        <v>2235</v>
      </c>
      <c r="M345" s="3" t="str">
        <f>VLOOKUP(G345,справочник!$B$1:$C$94,2,0)</f>
        <v>МСК+2</v>
      </c>
    </row>
    <row r="346" spans="1:13" ht="42" thickBot="1" x14ac:dyDescent="0.35">
      <c r="A346" s="1" t="s">
        <v>146</v>
      </c>
      <c r="B346" s="1">
        <v>2698</v>
      </c>
      <c r="C346" s="1" t="s">
        <v>2236</v>
      </c>
      <c r="D346" s="2" t="s">
        <v>2237</v>
      </c>
      <c r="E346" s="1" t="s">
        <v>20</v>
      </c>
      <c r="F346" s="1" t="s">
        <v>14</v>
      </c>
      <c r="G346" s="1" t="s">
        <v>15</v>
      </c>
      <c r="H346" s="1" t="s">
        <v>1764</v>
      </c>
      <c r="I346" s="1" t="s">
        <v>2238</v>
      </c>
      <c r="J346" s="2" t="s">
        <v>2239</v>
      </c>
      <c r="K346" s="2" t="s">
        <v>2240</v>
      </c>
      <c r="L346" s="2" t="s">
        <v>2241</v>
      </c>
      <c r="M346" s="3" t="str">
        <f>VLOOKUP(G346,справочник!$B$1:$C$94,2,0)</f>
        <v>МСК</v>
      </c>
    </row>
    <row r="347" spans="1:13" ht="69.599999999999994" thickBot="1" x14ac:dyDescent="0.35">
      <c r="A347" s="1" t="s">
        <v>54</v>
      </c>
      <c r="B347" s="1">
        <v>7349</v>
      </c>
      <c r="C347" s="1" t="s">
        <v>2242</v>
      </c>
      <c r="D347" s="2" t="s">
        <v>2243</v>
      </c>
      <c r="E347" s="1" t="s">
        <v>13</v>
      </c>
      <c r="F347" s="1" t="s">
        <v>14</v>
      </c>
      <c r="G347" s="1" t="s">
        <v>43</v>
      </c>
      <c r="H347" s="1"/>
      <c r="I347" s="1"/>
      <c r="J347" s="2" t="s">
        <v>2244</v>
      </c>
      <c r="K347" s="2" t="s">
        <v>2245</v>
      </c>
      <c r="L347" s="2" t="s">
        <v>2246</v>
      </c>
      <c r="M347" s="3" t="str">
        <f>VLOOKUP(G347,справочник!$B$1:$C$94,2,0)</f>
        <v>МСК</v>
      </c>
    </row>
    <row r="348" spans="1:13" ht="42" thickBot="1" x14ac:dyDescent="0.35">
      <c r="A348" s="1" t="s">
        <v>146</v>
      </c>
      <c r="B348" s="1">
        <v>2202</v>
      </c>
      <c r="C348" s="1" t="s">
        <v>2247</v>
      </c>
      <c r="D348" s="2" t="s">
        <v>2248</v>
      </c>
      <c r="E348" s="1" t="s">
        <v>20</v>
      </c>
      <c r="F348" s="1" t="s">
        <v>30</v>
      </c>
      <c r="G348" s="1" t="s">
        <v>31</v>
      </c>
      <c r="H348" s="1" t="s">
        <v>32</v>
      </c>
      <c r="I348" s="1" t="s">
        <v>2250</v>
      </c>
      <c r="J348" s="2" t="s">
        <v>1096</v>
      </c>
      <c r="K348" s="2" t="s">
        <v>2251</v>
      </c>
      <c r="L348" s="2" t="s">
        <v>2249</v>
      </c>
      <c r="M348" s="3" t="str">
        <f>VLOOKUP(G348,справочник!$B$1:$C$94,2,0)</f>
        <v>МСК</v>
      </c>
    </row>
    <row r="349" spans="1:13" ht="42" thickBot="1" x14ac:dyDescent="0.35">
      <c r="A349" s="1" t="s">
        <v>146</v>
      </c>
      <c r="B349" s="1">
        <v>1854</v>
      </c>
      <c r="C349" s="1" t="s">
        <v>2252</v>
      </c>
      <c r="D349" s="2" t="s">
        <v>2253</v>
      </c>
      <c r="E349" s="1" t="s">
        <v>20</v>
      </c>
      <c r="F349" s="1" t="s">
        <v>14</v>
      </c>
      <c r="G349" s="1" t="s">
        <v>15</v>
      </c>
      <c r="H349" s="1" t="s">
        <v>16</v>
      </c>
      <c r="I349" s="1" t="s">
        <v>2254</v>
      </c>
      <c r="J349" s="2" t="s">
        <v>2255</v>
      </c>
      <c r="K349" s="2" t="s">
        <v>2256</v>
      </c>
      <c r="L349" s="2" t="s">
        <v>2257</v>
      </c>
      <c r="M349" s="3" t="str">
        <f>VLOOKUP(G349,справочник!$B$1:$C$94,2,0)</f>
        <v>МСК</v>
      </c>
    </row>
    <row r="350" spans="1:13" ht="42" thickBot="1" x14ac:dyDescent="0.35">
      <c r="A350" s="1" t="s">
        <v>146</v>
      </c>
      <c r="B350" s="1">
        <v>1964</v>
      </c>
      <c r="C350" s="1" t="s">
        <v>2258</v>
      </c>
      <c r="D350" s="2" t="s">
        <v>2259</v>
      </c>
      <c r="E350" s="1" t="s">
        <v>20</v>
      </c>
      <c r="F350" s="1" t="s">
        <v>14</v>
      </c>
      <c r="G350" s="1" t="s">
        <v>15</v>
      </c>
      <c r="H350" s="1" t="s">
        <v>16</v>
      </c>
      <c r="I350" s="1" t="s">
        <v>2260</v>
      </c>
      <c r="J350" s="2" t="s">
        <v>2261</v>
      </c>
      <c r="K350" s="2" t="s">
        <v>2262</v>
      </c>
      <c r="L350" s="2" t="s">
        <v>2263</v>
      </c>
      <c r="M350" s="3" t="str">
        <f>VLOOKUP(G350,справочник!$B$1:$C$94,2,0)</f>
        <v>МСК</v>
      </c>
    </row>
    <row r="351" spans="1:13" ht="42" thickBot="1" x14ac:dyDescent="0.35">
      <c r="A351" s="1" t="s">
        <v>146</v>
      </c>
      <c r="B351" s="1">
        <v>4032</v>
      </c>
      <c r="C351" s="1" t="s">
        <v>2264</v>
      </c>
      <c r="D351" s="2" t="s">
        <v>2265</v>
      </c>
      <c r="E351" s="1" t="s">
        <v>20</v>
      </c>
      <c r="F351" s="1" t="s">
        <v>21</v>
      </c>
      <c r="G351" s="1" t="s">
        <v>1476</v>
      </c>
      <c r="H351" s="1" t="s">
        <v>1492</v>
      </c>
      <c r="I351" s="1" t="s">
        <v>2266</v>
      </c>
      <c r="J351" s="2" t="s">
        <v>2267</v>
      </c>
      <c r="K351" s="2" t="s">
        <v>2268</v>
      </c>
      <c r="L351" s="2" t="s">
        <v>2269</v>
      </c>
      <c r="M351" s="3" t="str">
        <f>VLOOKUP(G351,справочник!$B$1:$C$94,2,0)</f>
        <v>МСК</v>
      </c>
    </row>
    <row r="352" spans="1:13" ht="42" thickBot="1" x14ac:dyDescent="0.35">
      <c r="A352" s="1" t="s">
        <v>146</v>
      </c>
      <c r="B352" s="1">
        <v>1788</v>
      </c>
      <c r="C352" s="1" t="s">
        <v>2270</v>
      </c>
      <c r="D352" s="2" t="s">
        <v>2271</v>
      </c>
      <c r="E352" s="1" t="s">
        <v>20</v>
      </c>
      <c r="F352" s="1" t="s">
        <v>14</v>
      </c>
      <c r="G352" s="1" t="s">
        <v>15</v>
      </c>
      <c r="H352" s="1" t="s">
        <v>16</v>
      </c>
      <c r="I352" s="1" t="s">
        <v>2273</v>
      </c>
      <c r="J352" s="2" t="s">
        <v>2274</v>
      </c>
      <c r="K352" s="2" t="s">
        <v>2275</v>
      </c>
      <c r="L352" s="2" t="s">
        <v>2272</v>
      </c>
      <c r="M352" s="3" t="str">
        <f>VLOOKUP(G352,справочник!$B$1:$C$94,2,0)</f>
        <v>МСК</v>
      </c>
    </row>
    <row r="353" spans="1:13" ht="42" thickBot="1" x14ac:dyDescent="0.35">
      <c r="A353" s="1" t="s">
        <v>146</v>
      </c>
      <c r="B353" s="1">
        <v>1783</v>
      </c>
      <c r="C353" s="1" t="s">
        <v>2276</v>
      </c>
      <c r="D353" s="2" t="s">
        <v>2277</v>
      </c>
      <c r="E353" s="1" t="s">
        <v>20</v>
      </c>
      <c r="F353" s="1" t="s">
        <v>30</v>
      </c>
      <c r="G353" s="1" t="s">
        <v>31</v>
      </c>
      <c r="H353" s="1" t="s">
        <v>32</v>
      </c>
      <c r="I353" s="1" t="s">
        <v>2279</v>
      </c>
      <c r="J353" s="2" t="s">
        <v>2280</v>
      </c>
      <c r="K353" s="2" t="s">
        <v>2281</v>
      </c>
      <c r="L353" s="2" t="s">
        <v>2278</v>
      </c>
      <c r="M353" s="3" t="str">
        <f>VLOOKUP(G353,справочник!$B$1:$C$94,2,0)</f>
        <v>МСК</v>
      </c>
    </row>
    <row r="354" spans="1:13" ht="42" thickBot="1" x14ac:dyDescent="0.35">
      <c r="A354" s="1" t="s">
        <v>146</v>
      </c>
      <c r="B354" s="1">
        <v>1791</v>
      </c>
      <c r="C354" s="1" t="s">
        <v>2282</v>
      </c>
      <c r="D354" s="2" t="s">
        <v>2283</v>
      </c>
      <c r="E354" s="1" t="s">
        <v>20</v>
      </c>
      <c r="F354" s="1" t="s">
        <v>14</v>
      </c>
      <c r="G354" s="1" t="s">
        <v>15</v>
      </c>
      <c r="H354" s="1" t="s">
        <v>16</v>
      </c>
      <c r="I354" s="1" t="s">
        <v>2284</v>
      </c>
      <c r="J354" s="2" t="s">
        <v>2285</v>
      </c>
      <c r="K354" s="2" t="s">
        <v>2286</v>
      </c>
      <c r="L354" s="2" t="s">
        <v>2287</v>
      </c>
      <c r="M354" s="3" t="str">
        <f>VLOOKUP(G354,справочник!$B$1:$C$94,2,0)</f>
        <v>МСК</v>
      </c>
    </row>
    <row r="355" spans="1:13" ht="55.8" thickBot="1" x14ac:dyDescent="0.35">
      <c r="A355" s="1" t="s">
        <v>146</v>
      </c>
      <c r="B355" s="1">
        <v>2749</v>
      </c>
      <c r="C355" s="1" t="s">
        <v>2288</v>
      </c>
      <c r="D355" s="2" t="s">
        <v>2289</v>
      </c>
      <c r="E355" s="1" t="s">
        <v>20</v>
      </c>
      <c r="F355" s="1" t="s">
        <v>114</v>
      </c>
      <c r="G355" s="1" t="s">
        <v>121</v>
      </c>
      <c r="H355" s="1" t="s">
        <v>122</v>
      </c>
      <c r="I355" s="1" t="s">
        <v>2290</v>
      </c>
      <c r="J355" s="2" t="s">
        <v>435</v>
      </c>
      <c r="K355" s="2" t="s">
        <v>2291</v>
      </c>
      <c r="L355" s="2" t="s">
        <v>2292</v>
      </c>
      <c r="M355" s="3" t="str">
        <f>VLOOKUP(G355,справочник!$B$1:$C$94,2,0)</f>
        <v>МСК+7</v>
      </c>
    </row>
    <row r="356" spans="1:13" ht="42" thickBot="1" x14ac:dyDescent="0.35">
      <c r="A356" s="1" t="s">
        <v>146</v>
      </c>
      <c r="B356" s="1">
        <v>2257</v>
      </c>
      <c r="C356" s="1" t="s">
        <v>2293</v>
      </c>
      <c r="D356" s="2" t="s">
        <v>2294</v>
      </c>
      <c r="E356" s="1" t="s">
        <v>20</v>
      </c>
      <c r="F356" s="1" t="s">
        <v>14</v>
      </c>
      <c r="G356" s="1" t="s">
        <v>15</v>
      </c>
      <c r="H356" s="1" t="s">
        <v>16</v>
      </c>
      <c r="I356" s="1" t="s">
        <v>1799</v>
      </c>
      <c r="J356" s="2" t="s">
        <v>2296</v>
      </c>
      <c r="K356" s="2" t="s">
        <v>2297</v>
      </c>
      <c r="L356" s="2" t="s">
        <v>2295</v>
      </c>
      <c r="M356" s="3" t="str">
        <f>VLOOKUP(G356,справочник!$B$1:$C$94,2,0)</f>
        <v>МСК</v>
      </c>
    </row>
    <row r="357" spans="1:13" ht="42" thickBot="1" x14ac:dyDescent="0.35">
      <c r="A357" s="1" t="s">
        <v>146</v>
      </c>
      <c r="B357" s="1">
        <v>2331</v>
      </c>
      <c r="C357" s="1" t="s">
        <v>2298</v>
      </c>
      <c r="D357" s="2" t="s">
        <v>2299</v>
      </c>
      <c r="E357" s="1" t="s">
        <v>20</v>
      </c>
      <c r="F357" s="1" t="s">
        <v>14</v>
      </c>
      <c r="G357" s="1" t="s">
        <v>15</v>
      </c>
      <c r="H357" s="1" t="s">
        <v>16</v>
      </c>
      <c r="I357" s="1" t="s">
        <v>2301</v>
      </c>
      <c r="J357" s="2" t="s">
        <v>2302</v>
      </c>
      <c r="K357" s="2" t="s">
        <v>2303</v>
      </c>
      <c r="L357" s="2" t="s">
        <v>2300</v>
      </c>
      <c r="M357" s="3" t="str">
        <f>VLOOKUP(G357,справочник!$B$1:$C$94,2,0)</f>
        <v>МСК</v>
      </c>
    </row>
    <row r="358" spans="1:13" ht="42" thickBot="1" x14ac:dyDescent="0.35">
      <c r="A358" s="1" t="s">
        <v>146</v>
      </c>
      <c r="B358" s="1">
        <v>1778</v>
      </c>
      <c r="C358" s="1" t="s">
        <v>2304</v>
      </c>
      <c r="D358" s="2" t="s">
        <v>2305</v>
      </c>
      <c r="E358" s="1" t="s">
        <v>20</v>
      </c>
      <c r="F358" s="1" t="s">
        <v>14</v>
      </c>
      <c r="G358" s="1" t="s">
        <v>15</v>
      </c>
      <c r="H358" s="1" t="s">
        <v>16</v>
      </c>
      <c r="I358" s="1" t="s">
        <v>2306</v>
      </c>
      <c r="J358" s="2" t="s">
        <v>92</v>
      </c>
      <c r="K358" s="2" t="s">
        <v>2307</v>
      </c>
      <c r="L358" s="2" t="s">
        <v>2308</v>
      </c>
      <c r="M358" s="3" t="str">
        <f>VLOOKUP(G358,справочник!$B$1:$C$94,2,0)</f>
        <v>МСК</v>
      </c>
    </row>
    <row r="359" spans="1:13" ht="42" thickBot="1" x14ac:dyDescent="0.35">
      <c r="A359" s="1" t="s">
        <v>146</v>
      </c>
      <c r="B359" s="1">
        <v>1916</v>
      </c>
      <c r="C359" s="1" t="s">
        <v>2309</v>
      </c>
      <c r="D359" s="2" t="s">
        <v>2310</v>
      </c>
      <c r="E359" s="1" t="s">
        <v>20</v>
      </c>
      <c r="F359" s="1" t="s">
        <v>30</v>
      </c>
      <c r="G359" s="1" t="s">
        <v>31</v>
      </c>
      <c r="H359" s="1" t="s">
        <v>32</v>
      </c>
      <c r="I359" s="1" t="s">
        <v>2312</v>
      </c>
      <c r="J359" s="2" t="s">
        <v>2313</v>
      </c>
      <c r="K359" s="2" t="s">
        <v>2314</v>
      </c>
      <c r="L359" s="2" t="s">
        <v>2311</v>
      </c>
      <c r="M359" s="3" t="str">
        <f>VLOOKUP(G359,справочник!$B$1:$C$94,2,0)</f>
        <v>МСК</v>
      </c>
    </row>
    <row r="360" spans="1:13" ht="42" thickBot="1" x14ac:dyDescent="0.35">
      <c r="A360" s="1" t="s">
        <v>146</v>
      </c>
      <c r="B360" s="1">
        <v>1868</v>
      </c>
      <c r="C360" s="1" t="s">
        <v>2315</v>
      </c>
      <c r="D360" s="2" t="s">
        <v>2316</v>
      </c>
      <c r="E360" s="1" t="s">
        <v>20</v>
      </c>
      <c r="F360" s="1" t="s">
        <v>14</v>
      </c>
      <c r="G360" s="1" t="s">
        <v>15</v>
      </c>
      <c r="H360" s="1" t="s">
        <v>16</v>
      </c>
      <c r="I360" s="1" t="s">
        <v>2178</v>
      </c>
      <c r="J360" s="2" t="s">
        <v>2317</v>
      </c>
      <c r="K360" s="2" t="s">
        <v>2317</v>
      </c>
      <c r="L360" s="2" t="s">
        <v>2317</v>
      </c>
      <c r="M360" s="3" t="str">
        <f>VLOOKUP(G360,справочник!$B$1:$C$94,2,0)</f>
        <v>МСК</v>
      </c>
    </row>
    <row r="361" spans="1:13" ht="42" thickBot="1" x14ac:dyDescent="0.35">
      <c r="A361" s="1" t="s">
        <v>146</v>
      </c>
      <c r="B361" s="1">
        <v>1995</v>
      </c>
      <c r="C361" s="1" t="s">
        <v>2318</v>
      </c>
      <c r="D361" s="2" t="s">
        <v>2319</v>
      </c>
      <c r="E361" s="1" t="s">
        <v>20</v>
      </c>
      <c r="F361" s="1" t="s">
        <v>222</v>
      </c>
      <c r="G361" s="1" t="s">
        <v>472</v>
      </c>
      <c r="H361" s="1" t="s">
        <v>473</v>
      </c>
      <c r="I361" s="1" t="s">
        <v>2321</v>
      </c>
      <c r="J361" s="2" t="s">
        <v>2322</v>
      </c>
      <c r="K361" s="2" t="s">
        <v>2323</v>
      </c>
      <c r="L361" s="2" t="s">
        <v>2320</v>
      </c>
      <c r="M361" s="3" t="str">
        <f>VLOOKUP(G361,справочник!$B$1:$C$94,2,0)</f>
        <v>МСК+2</v>
      </c>
    </row>
    <row r="362" spans="1:13" ht="42" thickBot="1" x14ac:dyDescent="0.35">
      <c r="A362" s="1" t="s">
        <v>146</v>
      </c>
      <c r="B362" s="1">
        <v>2304</v>
      </c>
      <c r="C362" s="1" t="s">
        <v>2324</v>
      </c>
      <c r="D362" s="2" t="s">
        <v>2325</v>
      </c>
      <c r="E362" s="1" t="s">
        <v>20</v>
      </c>
      <c r="F362" s="1" t="s">
        <v>14</v>
      </c>
      <c r="G362" s="1" t="s">
        <v>43</v>
      </c>
      <c r="H362" s="1" t="s">
        <v>2328</v>
      </c>
      <c r="I362" s="1" t="s">
        <v>2329</v>
      </c>
      <c r="J362" s="2" t="s">
        <v>2330</v>
      </c>
      <c r="K362" s="2" t="s">
        <v>2326</v>
      </c>
      <c r="L362" s="2" t="s">
        <v>2327</v>
      </c>
      <c r="M362" s="3" t="str">
        <f>VLOOKUP(G362,справочник!$B$1:$C$94,2,0)</f>
        <v>МСК</v>
      </c>
    </row>
    <row r="363" spans="1:13" ht="42" thickBot="1" x14ac:dyDescent="0.35">
      <c r="A363" s="1" t="s">
        <v>146</v>
      </c>
      <c r="B363" s="1">
        <v>2252</v>
      </c>
      <c r="C363" s="1" t="s">
        <v>2331</v>
      </c>
      <c r="D363" s="2" t="s">
        <v>2332</v>
      </c>
      <c r="E363" s="1" t="s">
        <v>20</v>
      </c>
      <c r="F363" s="1" t="s">
        <v>14</v>
      </c>
      <c r="G363" s="1" t="s">
        <v>15</v>
      </c>
      <c r="H363" s="1" t="s">
        <v>16</v>
      </c>
      <c r="I363" s="1" t="s">
        <v>2334</v>
      </c>
      <c r="J363" s="2" t="s">
        <v>2335</v>
      </c>
      <c r="K363" s="2" t="s">
        <v>2336</v>
      </c>
      <c r="L363" s="2" t="s">
        <v>2333</v>
      </c>
      <c r="M363" s="3" t="str">
        <f>VLOOKUP(G363,справочник!$B$1:$C$94,2,0)</f>
        <v>МСК</v>
      </c>
    </row>
    <row r="364" spans="1:13" ht="42" thickBot="1" x14ac:dyDescent="0.35">
      <c r="A364" s="1" t="s">
        <v>146</v>
      </c>
      <c r="B364" s="1">
        <v>2229</v>
      </c>
      <c r="C364" s="1" t="s">
        <v>2337</v>
      </c>
      <c r="D364" s="2" t="s">
        <v>2338</v>
      </c>
      <c r="E364" s="1" t="s">
        <v>20</v>
      </c>
      <c r="F364" s="1" t="s">
        <v>36</v>
      </c>
      <c r="G364" s="1" t="s">
        <v>264</v>
      </c>
      <c r="H364" s="1" t="s">
        <v>2341</v>
      </c>
      <c r="I364" s="1" t="s">
        <v>2342</v>
      </c>
      <c r="J364" s="2" t="s">
        <v>2343</v>
      </c>
      <c r="K364" s="2" t="s">
        <v>2339</v>
      </c>
      <c r="L364" s="2" t="s">
        <v>2340</v>
      </c>
      <c r="M364" s="3" t="str">
        <f>VLOOKUP(G364,справочник!$B$1:$C$94,2,0)</f>
        <v>МСК+4</v>
      </c>
    </row>
    <row r="365" spans="1:13" ht="42" thickBot="1" x14ac:dyDescent="0.35">
      <c r="A365" s="1" t="s">
        <v>146</v>
      </c>
      <c r="B365" s="1">
        <v>1858</v>
      </c>
      <c r="C365" s="1" t="s">
        <v>2344</v>
      </c>
      <c r="D365" s="2" t="s">
        <v>2345</v>
      </c>
      <c r="E365" s="1" t="s">
        <v>20</v>
      </c>
      <c r="F365" s="1" t="s">
        <v>14</v>
      </c>
      <c r="G365" s="1" t="s">
        <v>15</v>
      </c>
      <c r="H365" s="1" t="s">
        <v>16</v>
      </c>
      <c r="I365" s="1" t="s">
        <v>2347</v>
      </c>
      <c r="J365" s="2" t="s">
        <v>2348</v>
      </c>
      <c r="K365" s="2" t="s">
        <v>2349</v>
      </c>
      <c r="L365" s="2" t="s">
        <v>2346</v>
      </c>
      <c r="M365" s="3" t="str">
        <f>VLOOKUP(G365,справочник!$B$1:$C$94,2,0)</f>
        <v>МСК</v>
      </c>
    </row>
    <row r="366" spans="1:13" ht="42" thickBot="1" x14ac:dyDescent="0.35">
      <c r="A366" s="1" t="s">
        <v>146</v>
      </c>
      <c r="B366" s="1">
        <v>1787</v>
      </c>
      <c r="C366" s="1" t="s">
        <v>2350</v>
      </c>
      <c r="D366" s="2" t="s">
        <v>2351</v>
      </c>
      <c r="E366" s="1" t="s">
        <v>20</v>
      </c>
      <c r="F366" s="1" t="s">
        <v>14</v>
      </c>
      <c r="G366" s="1" t="s">
        <v>1761</v>
      </c>
      <c r="H366" s="1" t="s">
        <v>2352</v>
      </c>
      <c r="I366" s="1" t="s">
        <v>2353</v>
      </c>
      <c r="J366" s="2" t="s">
        <v>2354</v>
      </c>
      <c r="K366" s="2" t="s">
        <v>2355</v>
      </c>
      <c r="L366" s="2" t="s">
        <v>2356</v>
      </c>
      <c r="M366" s="3" t="str">
        <f>VLOOKUP(G366,справочник!$B$1:$C$94,2,0)</f>
        <v>МСК</v>
      </c>
    </row>
    <row r="367" spans="1:13" ht="42" thickBot="1" x14ac:dyDescent="0.35">
      <c r="A367" s="1" t="s">
        <v>146</v>
      </c>
      <c r="B367" s="1">
        <v>1983</v>
      </c>
      <c r="C367" s="1" t="s">
        <v>2357</v>
      </c>
      <c r="D367" s="2" t="s">
        <v>2358</v>
      </c>
      <c r="E367" s="1" t="s">
        <v>20</v>
      </c>
      <c r="F367" s="1" t="s">
        <v>47</v>
      </c>
      <c r="G367" s="1" t="s">
        <v>48</v>
      </c>
      <c r="H367" s="1" t="s">
        <v>49</v>
      </c>
      <c r="I367" s="1" t="s">
        <v>2359</v>
      </c>
      <c r="J367" s="2" t="s">
        <v>92</v>
      </c>
      <c r="K367" s="2" t="s">
        <v>92</v>
      </c>
      <c r="L367" s="2" t="s">
        <v>92</v>
      </c>
      <c r="M367" s="3" t="str">
        <f>VLOOKUP(G367,справочник!$B$1:$C$94,2,0)</f>
        <v>МСК+2</v>
      </c>
    </row>
    <row r="368" spans="1:13" ht="42" thickBot="1" x14ac:dyDescent="0.35">
      <c r="A368" s="1" t="s">
        <v>146</v>
      </c>
      <c r="B368" s="1">
        <v>2851</v>
      </c>
      <c r="C368" s="1" t="s">
        <v>2360</v>
      </c>
      <c r="D368" s="2" t="s">
        <v>2361</v>
      </c>
      <c r="E368" s="1" t="s">
        <v>20</v>
      </c>
      <c r="F368" s="1" t="s">
        <v>14</v>
      </c>
      <c r="G368" s="1" t="s">
        <v>15</v>
      </c>
      <c r="H368" s="1" t="s">
        <v>16</v>
      </c>
      <c r="I368" s="1" t="s">
        <v>2362</v>
      </c>
      <c r="J368" s="2" t="s">
        <v>2363</v>
      </c>
      <c r="K368" s="2" t="s">
        <v>2364</v>
      </c>
      <c r="L368" s="2" t="s">
        <v>2365</v>
      </c>
      <c r="M368" s="3" t="str">
        <f>VLOOKUP(G368,справочник!$B$1:$C$94,2,0)</f>
        <v>МСК</v>
      </c>
    </row>
    <row r="369" spans="1:13" ht="28.2" thickBot="1" x14ac:dyDescent="0.35">
      <c r="A369" s="1" t="s">
        <v>12</v>
      </c>
      <c r="B369" s="1">
        <v>7588</v>
      </c>
      <c r="C369" s="1" t="s">
        <v>2366</v>
      </c>
      <c r="D369" s="2" t="s">
        <v>2367</v>
      </c>
      <c r="E369" s="1" t="s">
        <v>29</v>
      </c>
      <c r="F369" s="1" t="s">
        <v>14</v>
      </c>
      <c r="G369" s="1" t="s">
        <v>15</v>
      </c>
      <c r="H369" s="1" t="s">
        <v>16</v>
      </c>
      <c r="I369" s="1" t="s">
        <v>2369</v>
      </c>
      <c r="J369" s="2" t="s">
        <v>2370</v>
      </c>
      <c r="K369" s="2" t="s">
        <v>2371</v>
      </c>
      <c r="L369" s="2" t="s">
        <v>2368</v>
      </c>
      <c r="M369" s="3" t="str">
        <f>VLOOKUP(G369,справочник!$B$1:$C$94,2,0)</f>
        <v>МСК</v>
      </c>
    </row>
    <row r="370" spans="1:13" ht="42" thickBot="1" x14ac:dyDescent="0.35">
      <c r="A370" s="1" t="s">
        <v>146</v>
      </c>
      <c r="B370" s="1">
        <v>1802</v>
      </c>
      <c r="C370" s="1" t="s">
        <v>2372</v>
      </c>
      <c r="D370" s="2" t="s">
        <v>2373</v>
      </c>
      <c r="E370" s="1" t="s">
        <v>20</v>
      </c>
      <c r="F370" s="1" t="s">
        <v>14</v>
      </c>
      <c r="G370" s="1" t="s">
        <v>15</v>
      </c>
      <c r="H370" s="1" t="s">
        <v>16</v>
      </c>
      <c r="I370" s="1" t="s">
        <v>1193</v>
      </c>
      <c r="J370" s="2" t="s">
        <v>2374</v>
      </c>
      <c r="K370" s="2" t="s">
        <v>2375</v>
      </c>
      <c r="L370" s="2" t="s">
        <v>2376</v>
      </c>
      <c r="M370" s="3" t="str">
        <f>VLOOKUP(G370,справочник!$B$1:$C$94,2,0)</f>
        <v>МСК</v>
      </c>
    </row>
    <row r="371" spans="1:13" ht="42" thickBot="1" x14ac:dyDescent="0.35">
      <c r="A371" s="1" t="s">
        <v>168</v>
      </c>
      <c r="B371" s="1">
        <v>333</v>
      </c>
      <c r="C371" s="1" t="s">
        <v>2377</v>
      </c>
      <c r="D371" s="2" t="s">
        <v>2378</v>
      </c>
      <c r="E371" s="1" t="s">
        <v>20</v>
      </c>
      <c r="F371" s="1" t="s">
        <v>14</v>
      </c>
      <c r="G371" s="1" t="s">
        <v>15</v>
      </c>
      <c r="H371" s="1" t="s">
        <v>16</v>
      </c>
      <c r="I371" s="1" t="s">
        <v>2380</v>
      </c>
      <c r="J371" s="2" t="s">
        <v>974</v>
      </c>
      <c r="K371" s="2" t="s">
        <v>2381</v>
      </c>
      <c r="L371" s="2" t="s">
        <v>2379</v>
      </c>
      <c r="M371" s="3" t="str">
        <f>VLOOKUP(G371,справочник!$B$1:$C$94,2,0)</f>
        <v>МСК</v>
      </c>
    </row>
    <row r="372" spans="1:13" ht="42" thickBot="1" x14ac:dyDescent="0.35">
      <c r="A372" s="1" t="s">
        <v>146</v>
      </c>
      <c r="B372" s="1">
        <v>2009</v>
      </c>
      <c r="C372" s="1" t="s">
        <v>2382</v>
      </c>
      <c r="D372" s="2" t="s">
        <v>2383</v>
      </c>
      <c r="E372" s="1" t="s">
        <v>20</v>
      </c>
      <c r="F372" s="1" t="s">
        <v>14</v>
      </c>
      <c r="G372" s="1" t="s">
        <v>15</v>
      </c>
      <c r="H372" s="1" t="s">
        <v>16</v>
      </c>
      <c r="I372" s="1" t="s">
        <v>1727</v>
      </c>
      <c r="J372" s="2" t="s">
        <v>2385</v>
      </c>
      <c r="K372" s="2" t="s">
        <v>2386</v>
      </c>
      <c r="L372" s="2" t="s">
        <v>2384</v>
      </c>
      <c r="M372" s="3" t="str">
        <f>VLOOKUP(G372,справочник!$B$1:$C$94,2,0)</f>
        <v>МСК</v>
      </c>
    </row>
    <row r="373" spans="1:13" ht="42" thickBot="1" x14ac:dyDescent="0.35">
      <c r="A373" s="1" t="s">
        <v>146</v>
      </c>
      <c r="B373" s="1">
        <v>1800</v>
      </c>
      <c r="C373" s="1" t="s">
        <v>2387</v>
      </c>
      <c r="D373" s="2" t="s">
        <v>2388</v>
      </c>
      <c r="E373" s="1" t="s">
        <v>20</v>
      </c>
      <c r="F373" s="1" t="s">
        <v>14</v>
      </c>
      <c r="G373" s="1" t="s">
        <v>15</v>
      </c>
      <c r="H373" s="1" t="s">
        <v>16</v>
      </c>
      <c r="I373" s="1" t="s">
        <v>2390</v>
      </c>
      <c r="J373" s="2" t="s">
        <v>2391</v>
      </c>
      <c r="K373" s="2" t="s">
        <v>2392</v>
      </c>
      <c r="L373" s="2" t="s">
        <v>2389</v>
      </c>
      <c r="M373" s="3" t="str">
        <f>VLOOKUP(G373,справочник!$B$1:$C$94,2,0)</f>
        <v>МСК</v>
      </c>
    </row>
    <row r="374" spans="1:13" ht="42" thickBot="1" x14ac:dyDescent="0.35">
      <c r="A374" s="1" t="s">
        <v>146</v>
      </c>
      <c r="B374" s="1">
        <v>2119</v>
      </c>
      <c r="C374" s="1" t="s">
        <v>2393</v>
      </c>
      <c r="D374" s="2" t="s">
        <v>2394</v>
      </c>
      <c r="E374" s="1" t="s">
        <v>20</v>
      </c>
      <c r="F374" s="1" t="s">
        <v>30</v>
      </c>
      <c r="G374" s="1" t="s">
        <v>31</v>
      </c>
      <c r="H374" s="1" t="s">
        <v>32</v>
      </c>
      <c r="I374" s="1" t="s">
        <v>2397</v>
      </c>
      <c r="J374" s="2" t="s">
        <v>2398</v>
      </c>
      <c r="K374" s="2" t="s">
        <v>2395</v>
      </c>
      <c r="L374" s="2" t="s">
        <v>2396</v>
      </c>
      <c r="M374" s="3" t="str">
        <f>VLOOKUP(G374,справочник!$B$1:$C$94,2,0)</f>
        <v>МСК</v>
      </c>
    </row>
    <row r="375" spans="1:13" ht="42" thickBot="1" x14ac:dyDescent="0.35">
      <c r="A375" s="1" t="s">
        <v>146</v>
      </c>
      <c r="B375" s="1">
        <v>2142</v>
      </c>
      <c r="C375" s="1" t="s">
        <v>2399</v>
      </c>
      <c r="D375" s="2" t="s">
        <v>2400</v>
      </c>
      <c r="E375" s="1" t="s">
        <v>20</v>
      </c>
      <c r="F375" s="1" t="s">
        <v>36</v>
      </c>
      <c r="G375" s="1" t="s">
        <v>2158</v>
      </c>
      <c r="H375" s="1" t="s">
        <v>2159</v>
      </c>
      <c r="I375" s="1" t="s">
        <v>2402</v>
      </c>
      <c r="J375" s="2" t="s">
        <v>2403</v>
      </c>
      <c r="K375" s="2" t="s">
        <v>2404</v>
      </c>
      <c r="L375" s="2" t="s">
        <v>2401</v>
      </c>
      <c r="M375" s="3" t="str">
        <f>VLOOKUP(G375,справочник!$B$1:$C$94,2,0)</f>
        <v>МСК+4</v>
      </c>
    </row>
    <row r="376" spans="1:13" ht="42" thickBot="1" x14ac:dyDescent="0.35">
      <c r="A376" s="1" t="s">
        <v>146</v>
      </c>
      <c r="B376" s="1">
        <v>2701</v>
      </c>
      <c r="C376" s="1" t="s">
        <v>2405</v>
      </c>
      <c r="D376" s="2" t="s">
        <v>2406</v>
      </c>
      <c r="E376" s="1" t="s">
        <v>20</v>
      </c>
      <c r="F376" s="1" t="s">
        <v>14</v>
      </c>
      <c r="G376" s="1" t="s">
        <v>15</v>
      </c>
      <c r="H376" s="1" t="s">
        <v>1764</v>
      </c>
      <c r="I376" s="1" t="s">
        <v>2408</v>
      </c>
      <c r="J376" s="2" t="s">
        <v>2409</v>
      </c>
      <c r="K376" s="2" t="s">
        <v>2410</v>
      </c>
      <c r="L376" s="2" t="s">
        <v>2407</v>
      </c>
      <c r="M376" s="3" t="str">
        <f>VLOOKUP(G376,справочник!$B$1:$C$94,2,0)</f>
        <v>МСК</v>
      </c>
    </row>
    <row r="377" spans="1:13" ht="42" thickBot="1" x14ac:dyDescent="0.35">
      <c r="A377" s="1" t="s">
        <v>146</v>
      </c>
      <c r="B377" s="1">
        <v>1977</v>
      </c>
      <c r="C377" s="1" t="s">
        <v>2411</v>
      </c>
      <c r="D377" s="2" t="s">
        <v>2412</v>
      </c>
      <c r="E377" s="1" t="s">
        <v>20</v>
      </c>
      <c r="F377" s="1" t="s">
        <v>36</v>
      </c>
      <c r="G377" s="1" t="s">
        <v>1181</v>
      </c>
      <c r="H377" s="1" t="s">
        <v>1710</v>
      </c>
      <c r="I377" s="1" t="s">
        <v>1835</v>
      </c>
      <c r="J377" s="2" t="s">
        <v>2414</v>
      </c>
      <c r="K377" s="2" t="s">
        <v>2415</v>
      </c>
      <c r="L377" s="2" t="s">
        <v>2413</v>
      </c>
      <c r="M377" s="3" t="str">
        <f>VLOOKUP(G377,справочник!$B$1:$C$94,2,0)</f>
        <v>МСК+4</v>
      </c>
    </row>
    <row r="378" spans="1:13" ht="42" thickBot="1" x14ac:dyDescent="0.35">
      <c r="A378" s="1" t="s">
        <v>146</v>
      </c>
      <c r="B378" s="1">
        <v>2042</v>
      </c>
      <c r="C378" s="1" t="s">
        <v>2416</v>
      </c>
      <c r="D378" s="2" t="s">
        <v>2417</v>
      </c>
      <c r="E378" s="1" t="s">
        <v>20</v>
      </c>
      <c r="F378" s="1" t="s">
        <v>36</v>
      </c>
      <c r="G378" s="1" t="s">
        <v>330</v>
      </c>
      <c r="H378" s="1" t="s">
        <v>411</v>
      </c>
      <c r="I378" s="1" t="s">
        <v>2418</v>
      </c>
      <c r="J378" s="2" t="s">
        <v>2419</v>
      </c>
      <c r="K378" s="2" t="s">
        <v>2420</v>
      </c>
      <c r="L378" s="2" t="s">
        <v>2421</v>
      </c>
      <c r="M378" s="3" t="str">
        <f>VLOOKUP(G378,справочник!$B$1:$C$94,2,0)</f>
        <v>МСК+5</v>
      </c>
    </row>
    <row r="379" spans="1:13" ht="42" thickBot="1" x14ac:dyDescent="0.35">
      <c r="A379" s="1" t="s">
        <v>146</v>
      </c>
      <c r="B379" s="1">
        <v>1819</v>
      </c>
      <c r="C379" s="1" t="s">
        <v>2422</v>
      </c>
      <c r="D379" s="2" t="s">
        <v>2423</v>
      </c>
      <c r="E379" s="1" t="s">
        <v>20</v>
      </c>
      <c r="F379" s="1" t="s">
        <v>36</v>
      </c>
      <c r="G379" s="1" t="s">
        <v>1181</v>
      </c>
      <c r="H379" s="1" t="s">
        <v>1710</v>
      </c>
      <c r="I379" s="1" t="s">
        <v>2425</v>
      </c>
      <c r="J379" s="2" t="s">
        <v>2426</v>
      </c>
      <c r="K379" s="2" t="s">
        <v>2427</v>
      </c>
      <c r="L379" s="2" t="s">
        <v>2424</v>
      </c>
      <c r="M379" s="3" t="str">
        <f>VLOOKUP(G379,справочник!$B$1:$C$94,2,0)</f>
        <v>МСК+4</v>
      </c>
    </row>
    <row r="380" spans="1:13" ht="42" thickBot="1" x14ac:dyDescent="0.35">
      <c r="A380" s="1" t="s">
        <v>146</v>
      </c>
      <c r="B380" s="1">
        <v>2161</v>
      </c>
      <c r="C380" s="1" t="s">
        <v>2428</v>
      </c>
      <c r="D380" s="2" t="s">
        <v>2429</v>
      </c>
      <c r="E380" s="1" t="s">
        <v>20</v>
      </c>
      <c r="F380" s="1" t="s">
        <v>14</v>
      </c>
      <c r="G380" s="1" t="s">
        <v>15</v>
      </c>
      <c r="H380" s="1" t="s">
        <v>16</v>
      </c>
      <c r="I380" s="1" t="s">
        <v>2432</v>
      </c>
      <c r="J380" s="2" t="s">
        <v>2433</v>
      </c>
      <c r="K380" s="2" t="s">
        <v>2430</v>
      </c>
      <c r="L380" s="2" t="s">
        <v>2431</v>
      </c>
      <c r="M380" s="3" t="str">
        <f>VLOOKUP(G380,справочник!$B$1:$C$94,2,0)</f>
        <v>МСК</v>
      </c>
    </row>
    <row r="381" spans="1:13" ht="42" thickBot="1" x14ac:dyDescent="0.35">
      <c r="A381" s="1" t="s">
        <v>146</v>
      </c>
      <c r="B381" s="1">
        <v>2077</v>
      </c>
      <c r="C381" s="1" t="s">
        <v>2434</v>
      </c>
      <c r="D381" s="2" t="s">
        <v>2435</v>
      </c>
      <c r="E381" s="1" t="s">
        <v>20</v>
      </c>
      <c r="F381" s="1" t="s">
        <v>14</v>
      </c>
      <c r="G381" s="1" t="s">
        <v>15</v>
      </c>
      <c r="H381" s="1" t="s">
        <v>16</v>
      </c>
      <c r="I381" s="1" t="s">
        <v>2436</v>
      </c>
      <c r="J381" s="2" t="s">
        <v>2437</v>
      </c>
      <c r="K381" s="2" t="s">
        <v>2438</v>
      </c>
      <c r="L381" s="2" t="s">
        <v>2439</v>
      </c>
      <c r="M381" s="3" t="str">
        <f>VLOOKUP(G381,справочник!$B$1:$C$94,2,0)</f>
        <v>МСК</v>
      </c>
    </row>
    <row r="382" spans="1:13" ht="28.2" thickBot="1" x14ac:dyDescent="0.35">
      <c r="A382" s="1" t="s">
        <v>12</v>
      </c>
      <c r="B382" s="1">
        <v>1152</v>
      </c>
      <c r="C382" s="1" t="s">
        <v>2440</v>
      </c>
      <c r="D382" s="2" t="s">
        <v>2441</v>
      </c>
      <c r="E382" s="1" t="s">
        <v>29</v>
      </c>
      <c r="F382" s="1" t="s">
        <v>14</v>
      </c>
      <c r="G382" s="1" t="s">
        <v>15</v>
      </c>
      <c r="H382" s="1" t="s">
        <v>16</v>
      </c>
      <c r="I382" s="1" t="s">
        <v>2442</v>
      </c>
      <c r="J382" s="2" t="s">
        <v>2443</v>
      </c>
      <c r="K382" s="2" t="s">
        <v>2444</v>
      </c>
      <c r="L382" s="2" t="s">
        <v>2445</v>
      </c>
      <c r="M382" s="3" t="str">
        <f>VLOOKUP(G382,справочник!$B$1:$C$94,2,0)</f>
        <v>МСК</v>
      </c>
    </row>
    <row r="383" spans="1:13" ht="28.2" thickBot="1" x14ac:dyDescent="0.35">
      <c r="A383" s="1" t="s">
        <v>12</v>
      </c>
      <c r="B383" s="1">
        <v>3259</v>
      </c>
      <c r="C383" s="1" t="s">
        <v>2446</v>
      </c>
      <c r="D383" s="2" t="s">
        <v>2447</v>
      </c>
      <c r="E383" s="1" t="s">
        <v>29</v>
      </c>
      <c r="F383" s="1" t="s">
        <v>14</v>
      </c>
      <c r="G383" s="1" t="s">
        <v>15</v>
      </c>
      <c r="H383" s="1" t="s">
        <v>16</v>
      </c>
      <c r="I383" s="1" t="s">
        <v>2448</v>
      </c>
      <c r="J383" s="2" t="s">
        <v>2449</v>
      </c>
      <c r="K383" s="2" t="s">
        <v>2450</v>
      </c>
      <c r="L383" s="2" t="s">
        <v>2451</v>
      </c>
      <c r="M383" s="3" t="str">
        <f>VLOOKUP(G383,справочник!$B$1:$C$94,2,0)</f>
        <v>МСК</v>
      </c>
    </row>
    <row r="384" spans="1:13" ht="42" thickBot="1" x14ac:dyDescent="0.35">
      <c r="A384" s="1" t="s">
        <v>168</v>
      </c>
      <c r="B384" s="1">
        <v>337</v>
      </c>
      <c r="C384" s="1" t="s">
        <v>2452</v>
      </c>
      <c r="D384" s="2" t="s">
        <v>2453</v>
      </c>
      <c r="E384" s="1" t="s">
        <v>20</v>
      </c>
      <c r="F384" s="1" t="s">
        <v>14</v>
      </c>
      <c r="G384" s="1" t="s">
        <v>15</v>
      </c>
      <c r="H384" s="1" t="s">
        <v>16</v>
      </c>
      <c r="I384" s="1" t="s">
        <v>2455</v>
      </c>
      <c r="J384" s="2" t="s">
        <v>2456</v>
      </c>
      <c r="K384" s="2" t="s">
        <v>2457</v>
      </c>
      <c r="L384" s="2" t="s">
        <v>2454</v>
      </c>
      <c r="M384" s="3" t="str">
        <f>VLOOKUP(G384,справочник!$B$1:$C$94,2,0)</f>
        <v>МСК</v>
      </c>
    </row>
    <row r="385" spans="1:13" ht="42" thickBot="1" x14ac:dyDescent="0.35">
      <c r="A385" s="1" t="s">
        <v>146</v>
      </c>
      <c r="B385" s="1">
        <v>2035</v>
      </c>
      <c r="C385" s="1" t="s">
        <v>2458</v>
      </c>
      <c r="D385" s="2" t="s">
        <v>2459</v>
      </c>
      <c r="E385" s="1" t="s">
        <v>20</v>
      </c>
      <c r="F385" s="1" t="s">
        <v>14</v>
      </c>
      <c r="G385" s="1" t="s">
        <v>15</v>
      </c>
      <c r="H385" s="1" t="s">
        <v>16</v>
      </c>
      <c r="I385" s="1" t="s">
        <v>2460</v>
      </c>
      <c r="J385" s="2" t="s">
        <v>2461</v>
      </c>
      <c r="K385" s="2" t="s">
        <v>2462</v>
      </c>
      <c r="L385" s="2" t="s">
        <v>2463</v>
      </c>
      <c r="M385" s="3" t="str">
        <f>VLOOKUP(G385,справочник!$B$1:$C$94,2,0)</f>
        <v>МСК</v>
      </c>
    </row>
    <row r="386" spans="1:13" ht="42" thickBot="1" x14ac:dyDescent="0.35">
      <c r="A386" s="1" t="s">
        <v>146</v>
      </c>
      <c r="B386" s="1">
        <v>2149</v>
      </c>
      <c r="C386" s="1" t="s">
        <v>2464</v>
      </c>
      <c r="D386" s="2" t="s">
        <v>2465</v>
      </c>
      <c r="E386" s="1" t="s">
        <v>20</v>
      </c>
      <c r="F386" s="1" t="s">
        <v>36</v>
      </c>
      <c r="G386" s="1" t="s">
        <v>330</v>
      </c>
      <c r="H386" s="1" t="s">
        <v>2466</v>
      </c>
      <c r="I386" s="1" t="s">
        <v>2467</v>
      </c>
      <c r="J386" s="2" t="s">
        <v>2468</v>
      </c>
      <c r="K386" s="2" t="s">
        <v>2469</v>
      </c>
      <c r="L386" s="2" t="s">
        <v>2470</v>
      </c>
      <c r="M386" s="3" t="str">
        <f>VLOOKUP(G386,справочник!$B$1:$C$94,2,0)</f>
        <v>МСК+5</v>
      </c>
    </row>
    <row r="387" spans="1:13" ht="28.2" thickBot="1" x14ac:dyDescent="0.35">
      <c r="A387" s="1" t="s">
        <v>12</v>
      </c>
      <c r="B387" s="1">
        <v>3312</v>
      </c>
      <c r="C387" s="1" t="s">
        <v>2471</v>
      </c>
      <c r="D387" s="2" t="s">
        <v>2472</v>
      </c>
      <c r="E387" s="1" t="s">
        <v>29</v>
      </c>
      <c r="F387" s="1" t="s">
        <v>14</v>
      </c>
      <c r="G387" s="1" t="s">
        <v>15</v>
      </c>
      <c r="H387" s="1" t="s">
        <v>16</v>
      </c>
      <c r="I387" s="1" t="s">
        <v>2473</v>
      </c>
      <c r="J387" s="2" t="s">
        <v>2474</v>
      </c>
      <c r="K387" s="2" t="s">
        <v>2475</v>
      </c>
      <c r="L387" s="2" t="s">
        <v>2476</v>
      </c>
      <c r="M387" s="3" t="str">
        <f>VLOOKUP(G387,справочник!$B$1:$C$94,2,0)</f>
        <v>МСК</v>
      </c>
    </row>
    <row r="388" spans="1:13" ht="42" thickBot="1" x14ac:dyDescent="0.35">
      <c r="A388" s="1" t="s">
        <v>146</v>
      </c>
      <c r="B388" s="1">
        <v>1872</v>
      </c>
      <c r="C388" s="1" t="s">
        <v>2477</v>
      </c>
      <c r="D388" s="2" t="s">
        <v>2478</v>
      </c>
      <c r="E388" s="1" t="s">
        <v>20</v>
      </c>
      <c r="F388" s="1" t="s">
        <v>14</v>
      </c>
      <c r="G388" s="1" t="s">
        <v>43</v>
      </c>
      <c r="H388" s="1" t="s">
        <v>2328</v>
      </c>
      <c r="I388" s="1" t="s">
        <v>2480</v>
      </c>
      <c r="J388" s="2" t="s">
        <v>2481</v>
      </c>
      <c r="K388" s="2" t="s">
        <v>2482</v>
      </c>
      <c r="L388" s="2" t="s">
        <v>2479</v>
      </c>
      <c r="M388" s="3" t="str">
        <f>VLOOKUP(G388,справочник!$B$1:$C$94,2,0)</f>
        <v>МСК</v>
      </c>
    </row>
    <row r="389" spans="1:13" ht="42" thickBot="1" x14ac:dyDescent="0.35">
      <c r="A389" s="1" t="s">
        <v>146</v>
      </c>
      <c r="B389" s="1">
        <v>2141</v>
      </c>
      <c r="C389" s="1" t="s">
        <v>2483</v>
      </c>
      <c r="D389" s="2" t="s">
        <v>2484</v>
      </c>
      <c r="E389" s="1" t="s">
        <v>20</v>
      </c>
      <c r="F389" s="1" t="s">
        <v>114</v>
      </c>
      <c r="G389" s="1" t="s">
        <v>322</v>
      </c>
      <c r="H389" s="1" t="s">
        <v>1407</v>
      </c>
      <c r="I389" s="1" t="s">
        <v>2485</v>
      </c>
      <c r="J389" s="2" t="s">
        <v>2486</v>
      </c>
      <c r="K389" s="2" t="s">
        <v>2487</v>
      </c>
      <c r="L389" s="2" t="s">
        <v>2488</v>
      </c>
      <c r="M389" s="3" t="str">
        <f>VLOOKUP(G389,справочник!$B$1:$C$94,2,0)</f>
        <v>МСК+7</v>
      </c>
    </row>
    <row r="390" spans="1:13" ht="55.8" thickBot="1" x14ac:dyDescent="0.35">
      <c r="A390" s="1" t="s">
        <v>146</v>
      </c>
      <c r="B390" s="1">
        <v>2117</v>
      </c>
      <c r="C390" s="1" t="s">
        <v>2489</v>
      </c>
      <c r="D390" s="2" t="s">
        <v>2490</v>
      </c>
      <c r="E390" s="1" t="s">
        <v>20</v>
      </c>
      <c r="F390" s="1" t="s">
        <v>36</v>
      </c>
      <c r="G390" s="1" t="s">
        <v>1181</v>
      </c>
      <c r="H390" s="1" t="s">
        <v>1710</v>
      </c>
      <c r="I390" s="1" t="s">
        <v>2493</v>
      </c>
      <c r="J390" s="2" t="s">
        <v>2494</v>
      </c>
      <c r="K390" s="2" t="s">
        <v>2491</v>
      </c>
      <c r="L390" s="2" t="s">
        <v>2492</v>
      </c>
      <c r="M390" s="3" t="str">
        <f>VLOOKUP(G390,справочник!$B$1:$C$94,2,0)</f>
        <v>МСК+4</v>
      </c>
    </row>
    <row r="391" spans="1:13" ht="42" thickBot="1" x14ac:dyDescent="0.35">
      <c r="A391" s="1" t="s">
        <v>146</v>
      </c>
      <c r="B391" s="1">
        <v>1841</v>
      </c>
      <c r="C391" s="1" t="s">
        <v>2495</v>
      </c>
      <c r="D391" s="2" t="s">
        <v>2496</v>
      </c>
      <c r="E391" s="1" t="s">
        <v>20</v>
      </c>
      <c r="F391" s="1" t="s">
        <v>14</v>
      </c>
      <c r="G391" s="1" t="s">
        <v>15</v>
      </c>
      <c r="H391" s="1" t="s">
        <v>16</v>
      </c>
      <c r="I391" s="1" t="s">
        <v>2497</v>
      </c>
      <c r="J391" s="2" t="s">
        <v>2498</v>
      </c>
      <c r="K391" s="2" t="s">
        <v>2499</v>
      </c>
      <c r="L391" s="2" t="s">
        <v>2500</v>
      </c>
      <c r="M391" s="3" t="str">
        <f>VLOOKUP(G391,справочник!$B$1:$C$94,2,0)</f>
        <v>МСК</v>
      </c>
    </row>
    <row r="392" spans="1:13" ht="42" thickBot="1" x14ac:dyDescent="0.35">
      <c r="A392" s="1" t="s">
        <v>146</v>
      </c>
      <c r="B392" s="1">
        <v>2300</v>
      </c>
      <c r="C392" s="1" t="s">
        <v>2501</v>
      </c>
      <c r="D392" s="2" t="s">
        <v>2502</v>
      </c>
      <c r="E392" s="1" t="s">
        <v>20</v>
      </c>
      <c r="F392" s="1" t="s">
        <v>14</v>
      </c>
      <c r="G392" s="1" t="s">
        <v>43</v>
      </c>
      <c r="H392" s="1" t="s">
        <v>1745</v>
      </c>
      <c r="I392" s="1" t="s">
        <v>2504</v>
      </c>
      <c r="J392" s="2" t="s">
        <v>381</v>
      </c>
      <c r="K392" s="2" t="s">
        <v>2505</v>
      </c>
      <c r="L392" s="2" t="s">
        <v>2503</v>
      </c>
      <c r="M392" s="3" t="str">
        <f>VLOOKUP(G392,справочник!$B$1:$C$94,2,0)</f>
        <v>МСК</v>
      </c>
    </row>
    <row r="393" spans="1:13" ht="42" thickBot="1" x14ac:dyDescent="0.35">
      <c r="A393" s="1" t="s">
        <v>146</v>
      </c>
      <c r="B393" s="1">
        <v>1779</v>
      </c>
      <c r="C393" s="1" t="s">
        <v>2506</v>
      </c>
      <c r="D393" s="2" t="s">
        <v>2507</v>
      </c>
      <c r="E393" s="1" t="s">
        <v>20</v>
      </c>
      <c r="F393" s="1" t="s">
        <v>14</v>
      </c>
      <c r="G393" s="1" t="s">
        <v>43</v>
      </c>
      <c r="H393" s="1" t="s">
        <v>2328</v>
      </c>
      <c r="I393" s="1" t="s">
        <v>2508</v>
      </c>
      <c r="J393" s="2" t="s">
        <v>2481</v>
      </c>
      <c r="K393" s="2" t="s">
        <v>2509</v>
      </c>
      <c r="L393" s="2" t="s">
        <v>2510</v>
      </c>
      <c r="M393" s="3" t="str">
        <f>VLOOKUP(G393,справочник!$B$1:$C$94,2,0)</f>
        <v>МСК</v>
      </c>
    </row>
    <row r="394" spans="1:13" ht="42" thickBot="1" x14ac:dyDescent="0.35">
      <c r="A394" s="1" t="s">
        <v>146</v>
      </c>
      <c r="B394" s="1">
        <v>2133</v>
      </c>
      <c r="C394" s="1" t="s">
        <v>2511</v>
      </c>
      <c r="D394" s="2" t="s">
        <v>2512</v>
      </c>
      <c r="E394" s="1" t="s">
        <v>20</v>
      </c>
      <c r="F394" s="1" t="s">
        <v>36</v>
      </c>
      <c r="G394" s="1" t="s">
        <v>1181</v>
      </c>
      <c r="H394" s="1" t="s">
        <v>1710</v>
      </c>
      <c r="I394" s="1" t="s">
        <v>2513</v>
      </c>
      <c r="J394" s="2" t="s">
        <v>2514</v>
      </c>
      <c r="K394" s="2" t="s">
        <v>2515</v>
      </c>
      <c r="L394" s="2" t="s">
        <v>2516</v>
      </c>
      <c r="M394" s="3" t="str">
        <f>VLOOKUP(G394,справочник!$B$1:$C$94,2,0)</f>
        <v>МСК+4</v>
      </c>
    </row>
    <row r="395" spans="1:13" ht="42" thickBot="1" x14ac:dyDescent="0.35">
      <c r="A395" s="1" t="s">
        <v>146</v>
      </c>
      <c r="B395" s="1">
        <v>2162</v>
      </c>
      <c r="C395" s="1" t="s">
        <v>2517</v>
      </c>
      <c r="D395" s="2" t="s">
        <v>2518</v>
      </c>
      <c r="E395" s="1" t="s">
        <v>20</v>
      </c>
      <c r="F395" s="1" t="s">
        <v>47</v>
      </c>
      <c r="G395" s="1" t="s">
        <v>48</v>
      </c>
      <c r="H395" s="1" t="s">
        <v>49</v>
      </c>
      <c r="I395" s="1" t="s">
        <v>2520</v>
      </c>
      <c r="J395" s="2" t="s">
        <v>2521</v>
      </c>
      <c r="K395" s="2" t="s">
        <v>2522</v>
      </c>
      <c r="L395" s="2" t="s">
        <v>2519</v>
      </c>
      <c r="M395" s="3" t="str">
        <f>VLOOKUP(G395,справочник!$B$1:$C$94,2,0)</f>
        <v>МСК+2</v>
      </c>
    </row>
    <row r="396" spans="1:13" ht="42" thickBot="1" x14ac:dyDescent="0.35">
      <c r="A396" s="1" t="s">
        <v>12</v>
      </c>
      <c r="B396" s="1">
        <v>949</v>
      </c>
      <c r="C396" s="1" t="s">
        <v>2525</v>
      </c>
      <c r="D396" s="2" t="s">
        <v>2526</v>
      </c>
      <c r="E396" s="1" t="s">
        <v>29</v>
      </c>
      <c r="F396" s="1" t="s">
        <v>14</v>
      </c>
      <c r="G396" s="1" t="s">
        <v>2527</v>
      </c>
      <c r="H396" s="1" t="s">
        <v>2528</v>
      </c>
      <c r="I396" s="1" t="s">
        <v>2529</v>
      </c>
      <c r="J396" s="2" t="s">
        <v>2530</v>
      </c>
      <c r="K396" s="2" t="s">
        <v>2531</v>
      </c>
      <c r="L396" s="2" t="s">
        <v>2532</v>
      </c>
      <c r="M396" s="3" t="str">
        <f>VLOOKUP(G396,справочник!$B$1:$C$94,2,0)</f>
        <v>МСК</v>
      </c>
    </row>
    <row r="397" spans="1:13" ht="69.599999999999994" thickBot="1" x14ac:dyDescent="0.35">
      <c r="A397" s="1" t="s">
        <v>54</v>
      </c>
      <c r="B397" s="1">
        <v>3666</v>
      </c>
      <c r="C397" s="1" t="s">
        <v>2533</v>
      </c>
      <c r="D397" s="2" t="s">
        <v>2534</v>
      </c>
      <c r="E397" s="1" t="s">
        <v>13</v>
      </c>
      <c r="F397" s="1" t="s">
        <v>222</v>
      </c>
      <c r="G397" s="1" t="s">
        <v>2535</v>
      </c>
      <c r="H397" s="1" t="s">
        <v>2536</v>
      </c>
      <c r="I397" s="1" t="s">
        <v>2537</v>
      </c>
      <c r="J397" s="2" t="s">
        <v>2538</v>
      </c>
      <c r="K397" s="2" t="s">
        <v>2539</v>
      </c>
      <c r="L397" s="2" t="s">
        <v>2540</v>
      </c>
      <c r="M397" s="3" t="str">
        <f>VLOOKUP(G397,справочник!$B$1:$C$94,2,0)</f>
        <v>МСК</v>
      </c>
    </row>
    <row r="398" spans="1:13" ht="42" thickBot="1" x14ac:dyDescent="0.35">
      <c r="A398" s="1" t="s">
        <v>146</v>
      </c>
      <c r="B398" s="1">
        <v>2856</v>
      </c>
      <c r="C398" s="1" t="s">
        <v>2541</v>
      </c>
      <c r="D398" s="2" t="s">
        <v>2542</v>
      </c>
      <c r="E398" s="1" t="s">
        <v>20</v>
      </c>
      <c r="F398" s="1" t="s">
        <v>14</v>
      </c>
      <c r="G398" s="1" t="s">
        <v>15</v>
      </c>
      <c r="H398" s="1" t="s">
        <v>16</v>
      </c>
      <c r="I398" s="1" t="s">
        <v>2543</v>
      </c>
      <c r="J398" s="2" t="s">
        <v>2544</v>
      </c>
      <c r="K398" s="2" t="s">
        <v>2545</v>
      </c>
      <c r="L398" s="2" t="s">
        <v>2546</v>
      </c>
      <c r="M398" s="3" t="str">
        <f>VLOOKUP(G398,справочник!$B$1:$C$94,2,0)</f>
        <v>МСК</v>
      </c>
    </row>
    <row r="399" spans="1:13" ht="42" thickBot="1" x14ac:dyDescent="0.35">
      <c r="A399" s="1" t="s">
        <v>146</v>
      </c>
      <c r="B399" s="1">
        <v>1830</v>
      </c>
      <c r="C399" s="1" t="s">
        <v>2547</v>
      </c>
      <c r="D399" s="2" t="s">
        <v>2548</v>
      </c>
      <c r="E399" s="1" t="s">
        <v>20</v>
      </c>
      <c r="F399" s="1" t="s">
        <v>14</v>
      </c>
      <c r="G399" s="1" t="s">
        <v>15</v>
      </c>
      <c r="H399" s="1" t="s">
        <v>2549</v>
      </c>
      <c r="I399" s="1" t="s">
        <v>2550</v>
      </c>
      <c r="J399" s="2" t="s">
        <v>2551</v>
      </c>
      <c r="K399" s="2" t="s">
        <v>2552</v>
      </c>
      <c r="L399" s="2" t="s">
        <v>2553</v>
      </c>
      <c r="M399" s="3" t="str">
        <f>VLOOKUP(G399,справочник!$B$1:$C$94,2,0)</f>
        <v>МСК</v>
      </c>
    </row>
    <row r="400" spans="1:13" ht="42" thickBot="1" x14ac:dyDescent="0.35">
      <c r="A400" s="1" t="s">
        <v>146</v>
      </c>
      <c r="B400" s="1">
        <v>2168</v>
      </c>
      <c r="C400" s="1" t="s">
        <v>2554</v>
      </c>
      <c r="D400" s="2" t="s">
        <v>2555</v>
      </c>
      <c r="E400" s="1" t="s">
        <v>20</v>
      </c>
      <c r="F400" s="1" t="s">
        <v>14</v>
      </c>
      <c r="G400" s="1" t="s">
        <v>15</v>
      </c>
      <c r="H400" s="1" t="s">
        <v>16</v>
      </c>
      <c r="I400" s="1" t="s">
        <v>2556</v>
      </c>
      <c r="J400" s="2" t="s">
        <v>2557</v>
      </c>
      <c r="K400" s="2" t="s">
        <v>2558</v>
      </c>
      <c r="L400" s="2" t="s">
        <v>2559</v>
      </c>
      <c r="M400" s="3" t="str">
        <f>VLOOKUP(G400,справочник!$B$1:$C$94,2,0)</f>
        <v>МСК</v>
      </c>
    </row>
    <row r="401" spans="1:13" ht="42" thickBot="1" x14ac:dyDescent="0.35">
      <c r="A401" s="1" t="s">
        <v>146</v>
      </c>
      <c r="B401" s="1">
        <v>2127</v>
      </c>
      <c r="C401" s="1" t="s">
        <v>2560</v>
      </c>
      <c r="D401" s="2" t="s">
        <v>2561</v>
      </c>
      <c r="E401" s="1" t="s">
        <v>20</v>
      </c>
      <c r="F401" s="1" t="s">
        <v>47</v>
      </c>
      <c r="G401" s="1" t="s">
        <v>48</v>
      </c>
      <c r="H401" s="1" t="s">
        <v>49</v>
      </c>
      <c r="I401" s="1" t="s">
        <v>2563</v>
      </c>
      <c r="J401" s="2" t="s">
        <v>2564</v>
      </c>
      <c r="K401" s="2" t="s">
        <v>2565</v>
      </c>
      <c r="L401" s="2" t="s">
        <v>2562</v>
      </c>
      <c r="M401" s="3" t="str">
        <f>VLOOKUP(G401,справочник!$B$1:$C$94,2,0)</f>
        <v>МСК+2</v>
      </c>
    </row>
    <row r="402" spans="1:13" ht="42" thickBot="1" x14ac:dyDescent="0.35">
      <c r="A402" s="1" t="s">
        <v>146</v>
      </c>
      <c r="B402" s="1">
        <v>2743</v>
      </c>
      <c r="C402" s="1" t="s">
        <v>2566</v>
      </c>
      <c r="D402" s="2" t="s">
        <v>2567</v>
      </c>
      <c r="E402" s="1" t="s">
        <v>20</v>
      </c>
      <c r="F402" s="1" t="s">
        <v>36</v>
      </c>
      <c r="G402" s="1" t="s">
        <v>1181</v>
      </c>
      <c r="H402" s="1" t="s">
        <v>1710</v>
      </c>
      <c r="I402" s="1" t="s">
        <v>2568</v>
      </c>
      <c r="J402" s="2" t="s">
        <v>2569</v>
      </c>
      <c r="K402" s="2" t="s">
        <v>2570</v>
      </c>
      <c r="L402" s="2" t="s">
        <v>2571</v>
      </c>
      <c r="M402" s="3" t="str">
        <f>VLOOKUP(G402,справочник!$B$1:$C$94,2,0)</f>
        <v>МСК+4</v>
      </c>
    </row>
    <row r="403" spans="1:13" ht="42" thickBot="1" x14ac:dyDescent="0.35">
      <c r="A403" s="1" t="s">
        <v>146</v>
      </c>
      <c r="B403" s="1">
        <v>1988</v>
      </c>
      <c r="C403" s="1" t="s">
        <v>2572</v>
      </c>
      <c r="D403" s="2" t="s">
        <v>2573</v>
      </c>
      <c r="E403" s="1" t="s">
        <v>20</v>
      </c>
      <c r="F403" s="1" t="s">
        <v>36</v>
      </c>
      <c r="G403" s="1" t="s">
        <v>2158</v>
      </c>
      <c r="H403" s="1" t="s">
        <v>2159</v>
      </c>
      <c r="I403" s="1" t="s">
        <v>2574</v>
      </c>
      <c r="J403" s="2" t="s">
        <v>2575</v>
      </c>
      <c r="K403" s="2" t="s">
        <v>2576</v>
      </c>
      <c r="L403" s="2" t="s">
        <v>2577</v>
      </c>
      <c r="M403" s="3" t="str">
        <f>VLOOKUP(G403,справочник!$B$1:$C$94,2,0)</f>
        <v>МСК+4</v>
      </c>
    </row>
    <row r="404" spans="1:13" ht="42" thickBot="1" x14ac:dyDescent="0.35">
      <c r="A404" s="1" t="s">
        <v>146</v>
      </c>
      <c r="B404" s="1">
        <v>1941</v>
      </c>
      <c r="C404" s="1" t="s">
        <v>2578</v>
      </c>
      <c r="D404" s="2" t="s">
        <v>2579</v>
      </c>
      <c r="E404" s="1" t="s">
        <v>20</v>
      </c>
      <c r="F404" s="1" t="s">
        <v>14</v>
      </c>
      <c r="G404" s="1" t="s">
        <v>43</v>
      </c>
      <c r="H404" s="1" t="s">
        <v>2328</v>
      </c>
      <c r="I404" s="1" t="s">
        <v>2580</v>
      </c>
      <c r="J404" s="2" t="s">
        <v>2581</v>
      </c>
      <c r="K404" s="2" t="s">
        <v>2582</v>
      </c>
      <c r="L404" s="2" t="s">
        <v>2583</v>
      </c>
      <c r="M404" s="3" t="str">
        <f>VLOOKUP(G404,справочник!$B$1:$C$94,2,0)</f>
        <v>МСК</v>
      </c>
    </row>
    <row r="405" spans="1:13" ht="42" thickBot="1" x14ac:dyDescent="0.35">
      <c r="A405" s="1" t="s">
        <v>146</v>
      </c>
      <c r="B405" s="1">
        <v>4022</v>
      </c>
      <c r="C405" s="1" t="s">
        <v>2584</v>
      </c>
      <c r="D405" s="2" t="s">
        <v>2585</v>
      </c>
      <c r="E405" s="1" t="s">
        <v>20</v>
      </c>
      <c r="F405" s="1" t="s">
        <v>21</v>
      </c>
      <c r="G405" s="1" t="s">
        <v>1476</v>
      </c>
      <c r="H405" s="1" t="s">
        <v>1492</v>
      </c>
      <c r="I405" s="1" t="s">
        <v>2586</v>
      </c>
      <c r="J405" s="2" t="s">
        <v>2587</v>
      </c>
      <c r="K405" s="2" t="s">
        <v>2588</v>
      </c>
      <c r="L405" s="2" t="s">
        <v>2589</v>
      </c>
      <c r="M405" s="3" t="str">
        <f>VLOOKUP(G405,справочник!$B$1:$C$94,2,0)</f>
        <v>МСК</v>
      </c>
    </row>
    <row r="406" spans="1:13" ht="42" thickBot="1" x14ac:dyDescent="0.35">
      <c r="A406" s="1" t="s">
        <v>146</v>
      </c>
      <c r="B406" s="1">
        <v>2010</v>
      </c>
      <c r="C406" s="1" t="s">
        <v>2590</v>
      </c>
      <c r="D406" s="2" t="s">
        <v>2591</v>
      </c>
      <c r="E406" s="1" t="s">
        <v>20</v>
      </c>
      <c r="F406" s="1" t="s">
        <v>30</v>
      </c>
      <c r="G406" s="1" t="s">
        <v>31</v>
      </c>
      <c r="H406" s="1" t="s">
        <v>32</v>
      </c>
      <c r="I406" s="1" t="s">
        <v>2593</v>
      </c>
      <c r="J406" s="2" t="s">
        <v>2594</v>
      </c>
      <c r="K406" s="2" t="s">
        <v>2595</v>
      </c>
      <c r="L406" s="2" t="s">
        <v>2592</v>
      </c>
      <c r="M406" s="3" t="str">
        <f>VLOOKUP(G406,справочник!$B$1:$C$94,2,0)</f>
        <v>МСК</v>
      </c>
    </row>
    <row r="407" spans="1:13" ht="42" thickBot="1" x14ac:dyDescent="0.35">
      <c r="A407" s="1" t="s">
        <v>146</v>
      </c>
      <c r="B407" s="1">
        <v>1784</v>
      </c>
      <c r="C407" s="1" t="s">
        <v>2596</v>
      </c>
      <c r="D407" s="2" t="s">
        <v>2597</v>
      </c>
      <c r="E407" s="1" t="s">
        <v>20</v>
      </c>
      <c r="F407" s="1" t="s">
        <v>14</v>
      </c>
      <c r="G407" s="1" t="s">
        <v>15</v>
      </c>
      <c r="H407" s="1" t="s">
        <v>16</v>
      </c>
      <c r="I407" s="1" t="s">
        <v>2599</v>
      </c>
      <c r="J407" s="2" t="s">
        <v>2600</v>
      </c>
      <c r="K407" s="2" t="s">
        <v>2601</v>
      </c>
      <c r="L407" s="2" t="s">
        <v>2598</v>
      </c>
      <c r="M407" s="3" t="str">
        <f>VLOOKUP(G407,справочник!$B$1:$C$94,2,0)</f>
        <v>МСК</v>
      </c>
    </row>
    <row r="408" spans="1:13" ht="42" thickBot="1" x14ac:dyDescent="0.35">
      <c r="A408" s="1" t="s">
        <v>146</v>
      </c>
      <c r="B408" s="1">
        <v>1982</v>
      </c>
      <c r="C408" s="1" t="s">
        <v>2602</v>
      </c>
      <c r="D408" s="2" t="s">
        <v>2603</v>
      </c>
      <c r="E408" s="1" t="s">
        <v>20</v>
      </c>
      <c r="F408" s="1" t="s">
        <v>114</v>
      </c>
      <c r="G408" s="1" t="s">
        <v>418</v>
      </c>
      <c r="H408" s="1" t="s">
        <v>433</v>
      </c>
      <c r="I408" s="1" t="s">
        <v>2154</v>
      </c>
      <c r="J408" s="2" t="s">
        <v>2605</v>
      </c>
      <c r="K408" s="2" t="s">
        <v>2606</v>
      </c>
      <c r="L408" s="2" t="s">
        <v>2604</v>
      </c>
      <c r="M408" s="3" t="str">
        <f>VLOOKUP(G408,справочник!$B$1:$C$94,2,0)</f>
        <v>МСК+5</v>
      </c>
    </row>
    <row r="409" spans="1:13" ht="42" thickBot="1" x14ac:dyDescent="0.35">
      <c r="A409" s="1" t="s">
        <v>146</v>
      </c>
      <c r="B409" s="1">
        <v>2153</v>
      </c>
      <c r="C409" s="1" t="s">
        <v>2607</v>
      </c>
      <c r="D409" s="2" t="s">
        <v>2608</v>
      </c>
      <c r="E409" s="1" t="s">
        <v>20</v>
      </c>
      <c r="F409" s="1" t="s">
        <v>14</v>
      </c>
      <c r="G409" s="1" t="s">
        <v>15</v>
      </c>
      <c r="H409" s="1" t="s">
        <v>16</v>
      </c>
      <c r="I409" s="1" t="s">
        <v>2609</v>
      </c>
      <c r="J409" s="2" t="s">
        <v>2610</v>
      </c>
      <c r="K409" s="2" t="s">
        <v>2611</v>
      </c>
      <c r="L409" s="2" t="s">
        <v>2612</v>
      </c>
      <c r="M409" s="3" t="str">
        <f>VLOOKUP(G409,справочник!$B$1:$C$94,2,0)</f>
        <v>МСК</v>
      </c>
    </row>
    <row r="410" spans="1:13" ht="42" thickBot="1" x14ac:dyDescent="0.35">
      <c r="A410" s="1" t="s">
        <v>146</v>
      </c>
      <c r="B410" s="1">
        <v>2845</v>
      </c>
      <c r="C410" s="1" t="s">
        <v>2613</v>
      </c>
      <c r="D410" s="2" t="s">
        <v>2614</v>
      </c>
      <c r="E410" s="1" t="s">
        <v>20</v>
      </c>
      <c r="F410" s="1" t="s">
        <v>36</v>
      </c>
      <c r="G410" s="1" t="s">
        <v>1181</v>
      </c>
      <c r="H410" s="1" t="s">
        <v>1710</v>
      </c>
      <c r="I410" s="1" t="s">
        <v>1997</v>
      </c>
      <c r="J410" s="2" t="s">
        <v>92</v>
      </c>
      <c r="K410" s="2" t="s">
        <v>92</v>
      </c>
      <c r="L410" s="2" t="s">
        <v>92</v>
      </c>
      <c r="M410" s="3" t="str">
        <f>VLOOKUP(G410,справочник!$B$1:$C$94,2,0)</f>
        <v>МСК+4</v>
      </c>
    </row>
    <row r="411" spans="1:13" ht="42" thickBot="1" x14ac:dyDescent="0.35">
      <c r="A411" s="1" t="s">
        <v>146</v>
      </c>
      <c r="B411" s="1">
        <v>2102</v>
      </c>
      <c r="C411" s="1" t="s">
        <v>2615</v>
      </c>
      <c r="D411" s="2" t="s">
        <v>2616</v>
      </c>
      <c r="E411" s="1" t="s">
        <v>20</v>
      </c>
      <c r="F411" s="1" t="s">
        <v>36</v>
      </c>
      <c r="G411" s="1" t="s">
        <v>1181</v>
      </c>
      <c r="H411" s="1" t="s">
        <v>1710</v>
      </c>
      <c r="I411" s="1" t="s">
        <v>1997</v>
      </c>
      <c r="J411" s="2" t="s">
        <v>2617</v>
      </c>
      <c r="K411" s="2" t="s">
        <v>2618</v>
      </c>
      <c r="L411" s="2" t="s">
        <v>2619</v>
      </c>
      <c r="M411" s="3" t="str">
        <f>VLOOKUP(G411,справочник!$B$1:$C$94,2,0)</f>
        <v>МСК+4</v>
      </c>
    </row>
    <row r="412" spans="1:13" ht="42" thickBot="1" x14ac:dyDescent="0.35">
      <c r="A412" s="1" t="s">
        <v>146</v>
      </c>
      <c r="B412" s="1">
        <v>2163</v>
      </c>
      <c r="C412" s="1" t="s">
        <v>2620</v>
      </c>
      <c r="D412" s="2" t="s">
        <v>2621</v>
      </c>
      <c r="E412" s="1" t="s">
        <v>20</v>
      </c>
      <c r="F412" s="1" t="s">
        <v>47</v>
      </c>
      <c r="G412" s="1" t="s">
        <v>48</v>
      </c>
      <c r="H412" s="1" t="s">
        <v>49</v>
      </c>
      <c r="I412" s="1" t="s">
        <v>1987</v>
      </c>
      <c r="J412" s="2" t="s">
        <v>2623</v>
      </c>
      <c r="K412" s="2" t="s">
        <v>2624</v>
      </c>
      <c r="L412" s="2" t="s">
        <v>2622</v>
      </c>
      <c r="M412" s="3" t="str">
        <f>VLOOKUP(G412,справочник!$B$1:$C$94,2,0)</f>
        <v>МСК+2</v>
      </c>
    </row>
    <row r="413" spans="1:13" ht="42" thickBot="1" x14ac:dyDescent="0.35">
      <c r="A413" s="1" t="s">
        <v>146</v>
      </c>
      <c r="B413" s="1">
        <v>2295</v>
      </c>
      <c r="C413" s="1" t="s">
        <v>2625</v>
      </c>
      <c r="D413" s="2" t="s">
        <v>2626</v>
      </c>
      <c r="E413" s="1" t="s">
        <v>20</v>
      </c>
      <c r="F413" s="1" t="s">
        <v>14</v>
      </c>
      <c r="G413" s="1" t="s">
        <v>43</v>
      </c>
      <c r="H413" s="1" t="s">
        <v>16</v>
      </c>
      <c r="I413" s="1" t="s">
        <v>2627</v>
      </c>
      <c r="J413" s="2" t="s">
        <v>2628</v>
      </c>
      <c r="K413" s="2" t="s">
        <v>2629</v>
      </c>
      <c r="L413" s="2" t="s">
        <v>2630</v>
      </c>
      <c r="M413" s="3" t="str">
        <f>VLOOKUP(G413,справочник!$B$1:$C$94,2,0)</f>
        <v>МСК</v>
      </c>
    </row>
    <row r="414" spans="1:13" ht="42" thickBot="1" x14ac:dyDescent="0.35">
      <c r="A414" s="1" t="s">
        <v>146</v>
      </c>
      <c r="B414" s="1">
        <v>1943</v>
      </c>
      <c r="C414" s="1" t="s">
        <v>2631</v>
      </c>
      <c r="D414" s="2" t="s">
        <v>2632</v>
      </c>
      <c r="E414" s="1" t="s">
        <v>20</v>
      </c>
      <c r="F414" s="1" t="s">
        <v>222</v>
      </c>
      <c r="G414" s="1" t="s">
        <v>727</v>
      </c>
      <c r="H414" s="1" t="s">
        <v>728</v>
      </c>
      <c r="I414" s="1" t="s">
        <v>2107</v>
      </c>
      <c r="J414" s="2" t="s">
        <v>89</v>
      </c>
      <c r="K414" s="2" t="s">
        <v>2634</v>
      </c>
      <c r="L414" s="2" t="s">
        <v>2633</v>
      </c>
      <c r="M414" s="3" t="str">
        <f>VLOOKUP(G414,справочник!$B$1:$C$94,2,0)</f>
        <v>МСК</v>
      </c>
    </row>
    <row r="415" spans="1:13" ht="42" thickBot="1" x14ac:dyDescent="0.35">
      <c r="A415" s="1" t="s">
        <v>146</v>
      </c>
      <c r="B415" s="1">
        <v>2466</v>
      </c>
      <c r="C415" s="1" t="s">
        <v>2635</v>
      </c>
      <c r="D415" s="2" t="s">
        <v>2636</v>
      </c>
      <c r="E415" s="1" t="s">
        <v>20</v>
      </c>
      <c r="F415" s="1" t="s">
        <v>114</v>
      </c>
      <c r="G415" s="1" t="s">
        <v>121</v>
      </c>
      <c r="H415" s="1" t="s">
        <v>122</v>
      </c>
      <c r="I415" s="1" t="s">
        <v>2638</v>
      </c>
      <c r="J415" s="2" t="s">
        <v>2639</v>
      </c>
      <c r="K415" s="2" t="s">
        <v>2640</v>
      </c>
      <c r="L415" s="2" t="s">
        <v>2637</v>
      </c>
      <c r="M415" s="3" t="str">
        <f>VLOOKUP(G415,справочник!$B$1:$C$94,2,0)</f>
        <v>МСК+7</v>
      </c>
    </row>
    <row r="416" spans="1:13" ht="42" thickBot="1" x14ac:dyDescent="0.35">
      <c r="A416" s="1" t="s">
        <v>146</v>
      </c>
      <c r="B416" s="1">
        <v>2143</v>
      </c>
      <c r="C416" s="1" t="s">
        <v>2641</v>
      </c>
      <c r="D416" s="2" t="s">
        <v>2642</v>
      </c>
      <c r="E416" s="1" t="s">
        <v>20</v>
      </c>
      <c r="F416" s="1" t="s">
        <v>36</v>
      </c>
      <c r="G416" s="1" t="s">
        <v>2158</v>
      </c>
      <c r="H416" s="1" t="s">
        <v>2159</v>
      </c>
      <c r="I416" s="1" t="s">
        <v>2643</v>
      </c>
      <c r="J416" s="2" t="s">
        <v>2644</v>
      </c>
      <c r="K416" s="2" t="s">
        <v>2645</v>
      </c>
      <c r="L416" s="2" t="s">
        <v>2646</v>
      </c>
      <c r="M416" s="3" t="str">
        <f>VLOOKUP(G416,справочник!$B$1:$C$94,2,0)</f>
        <v>МСК+4</v>
      </c>
    </row>
    <row r="417" spans="1:13" ht="42" thickBot="1" x14ac:dyDescent="0.35">
      <c r="A417" s="1" t="s">
        <v>146</v>
      </c>
      <c r="B417" s="1">
        <v>1798</v>
      </c>
      <c r="C417" s="1" t="s">
        <v>2647</v>
      </c>
      <c r="D417" s="2" t="s">
        <v>2648</v>
      </c>
      <c r="E417" s="1" t="s">
        <v>20</v>
      </c>
      <c r="F417" s="1" t="s">
        <v>14</v>
      </c>
      <c r="G417" s="1" t="s">
        <v>632</v>
      </c>
      <c r="H417" s="1" t="s">
        <v>634</v>
      </c>
      <c r="I417" s="1" t="s">
        <v>2650</v>
      </c>
      <c r="J417" s="2" t="s">
        <v>2651</v>
      </c>
      <c r="K417" s="2" t="s">
        <v>2652</v>
      </c>
      <c r="L417" s="2" t="s">
        <v>2649</v>
      </c>
      <c r="M417" s="3" t="str">
        <f>VLOOKUP(G417,справочник!$B$1:$C$94,2,0)</f>
        <v>МСК</v>
      </c>
    </row>
    <row r="418" spans="1:13" ht="42" thickBot="1" x14ac:dyDescent="0.35">
      <c r="A418" s="1" t="s">
        <v>146</v>
      </c>
      <c r="B418" s="1">
        <v>1950</v>
      </c>
      <c r="C418" s="1" t="s">
        <v>2653</v>
      </c>
      <c r="D418" s="2" t="s">
        <v>2654</v>
      </c>
      <c r="E418" s="1" t="s">
        <v>20</v>
      </c>
      <c r="F418" s="1" t="s">
        <v>36</v>
      </c>
      <c r="G418" s="1" t="s">
        <v>1181</v>
      </c>
      <c r="H418" s="1" t="s">
        <v>1710</v>
      </c>
      <c r="I418" s="1" t="s">
        <v>2656</v>
      </c>
      <c r="J418" s="2" t="s">
        <v>2657</v>
      </c>
      <c r="K418" s="2" t="s">
        <v>2658</v>
      </c>
      <c r="L418" s="2" t="s">
        <v>2655</v>
      </c>
      <c r="M418" s="3" t="str">
        <f>VLOOKUP(G418,справочник!$B$1:$C$94,2,0)</f>
        <v>МСК+4</v>
      </c>
    </row>
    <row r="419" spans="1:13" ht="42" thickBot="1" x14ac:dyDescent="0.35">
      <c r="A419" s="1" t="s">
        <v>146</v>
      </c>
      <c r="B419" s="1">
        <v>2332</v>
      </c>
      <c r="C419" s="1" t="s">
        <v>2659</v>
      </c>
      <c r="D419" s="2" t="s">
        <v>2660</v>
      </c>
      <c r="E419" s="1" t="s">
        <v>20</v>
      </c>
      <c r="F419" s="1" t="s">
        <v>47</v>
      </c>
      <c r="G419" s="1" t="s">
        <v>48</v>
      </c>
      <c r="H419" s="1" t="s">
        <v>49</v>
      </c>
      <c r="I419" s="1" t="s">
        <v>2662</v>
      </c>
      <c r="J419" s="2" t="s">
        <v>2663</v>
      </c>
      <c r="K419" s="2" t="s">
        <v>2664</v>
      </c>
      <c r="L419" s="2" t="s">
        <v>2661</v>
      </c>
      <c r="M419" s="3" t="str">
        <f>VLOOKUP(G419,справочник!$B$1:$C$94,2,0)</f>
        <v>МСК+2</v>
      </c>
    </row>
    <row r="420" spans="1:13" ht="42" thickBot="1" x14ac:dyDescent="0.35">
      <c r="A420" s="1" t="s">
        <v>146</v>
      </c>
      <c r="B420" s="1">
        <v>2085</v>
      </c>
      <c r="C420" s="1" t="s">
        <v>2665</v>
      </c>
      <c r="D420" s="2" t="s">
        <v>2666</v>
      </c>
      <c r="E420" s="1" t="s">
        <v>20</v>
      </c>
      <c r="F420" s="1" t="s">
        <v>36</v>
      </c>
      <c r="G420" s="1" t="s">
        <v>1181</v>
      </c>
      <c r="H420" s="1" t="s">
        <v>2668</v>
      </c>
      <c r="I420" s="1" t="s">
        <v>2669</v>
      </c>
      <c r="J420" s="2" t="s">
        <v>2670</v>
      </c>
      <c r="K420" s="2" t="s">
        <v>2671</v>
      </c>
      <c r="L420" s="2" t="s">
        <v>2667</v>
      </c>
      <c r="M420" s="3" t="str">
        <f>VLOOKUP(G420,справочник!$B$1:$C$94,2,0)</f>
        <v>МСК+4</v>
      </c>
    </row>
    <row r="421" spans="1:13" ht="55.8" thickBot="1" x14ac:dyDescent="0.35">
      <c r="A421" s="1" t="s">
        <v>146</v>
      </c>
      <c r="B421" s="1">
        <v>2730</v>
      </c>
      <c r="C421" s="1" t="s">
        <v>2672</v>
      </c>
      <c r="D421" s="2" t="s">
        <v>2673</v>
      </c>
      <c r="E421" s="1" t="s">
        <v>20</v>
      </c>
      <c r="F421" s="1" t="s">
        <v>36</v>
      </c>
      <c r="G421" s="1" t="s">
        <v>1181</v>
      </c>
      <c r="H421" s="1" t="s">
        <v>2675</v>
      </c>
      <c r="I421" s="1" t="s">
        <v>2676</v>
      </c>
      <c r="J421" s="2" t="s">
        <v>2677</v>
      </c>
      <c r="K421" s="2" t="s">
        <v>2678</v>
      </c>
      <c r="L421" s="2" t="s">
        <v>2674</v>
      </c>
      <c r="M421" s="3" t="str">
        <f>VLOOKUP(G421,справочник!$B$1:$C$94,2,0)</f>
        <v>МСК+4</v>
      </c>
    </row>
    <row r="422" spans="1:13" ht="42" thickBot="1" x14ac:dyDescent="0.35">
      <c r="A422" s="1" t="s">
        <v>146</v>
      </c>
      <c r="B422" s="1">
        <v>1877</v>
      </c>
      <c r="C422" s="1" t="s">
        <v>2679</v>
      </c>
      <c r="D422" s="2" t="s">
        <v>2680</v>
      </c>
      <c r="E422" s="1" t="s">
        <v>20</v>
      </c>
      <c r="F422" s="1" t="s">
        <v>30</v>
      </c>
      <c r="G422" s="1" t="s">
        <v>31</v>
      </c>
      <c r="H422" s="1" t="s">
        <v>32</v>
      </c>
      <c r="I422" s="1" t="s">
        <v>2681</v>
      </c>
      <c r="J422" s="2" t="s">
        <v>2682</v>
      </c>
      <c r="K422" s="2" t="s">
        <v>2683</v>
      </c>
      <c r="L422" s="2" t="s">
        <v>2684</v>
      </c>
      <c r="M422" s="3" t="str">
        <f>VLOOKUP(G422,справочник!$B$1:$C$94,2,0)</f>
        <v>МСК</v>
      </c>
    </row>
    <row r="423" spans="1:13" ht="42" thickBot="1" x14ac:dyDescent="0.35">
      <c r="A423" s="1" t="s">
        <v>146</v>
      </c>
      <c r="B423" s="1">
        <v>2022</v>
      </c>
      <c r="C423" s="1" t="s">
        <v>2685</v>
      </c>
      <c r="D423" s="2" t="s">
        <v>2686</v>
      </c>
      <c r="E423" s="1" t="s">
        <v>20</v>
      </c>
      <c r="F423" s="1" t="s">
        <v>30</v>
      </c>
      <c r="G423" s="1" t="s">
        <v>31</v>
      </c>
      <c r="H423" s="1" t="s">
        <v>32</v>
      </c>
      <c r="I423" s="1" t="s">
        <v>2687</v>
      </c>
      <c r="J423" s="2" t="s">
        <v>2688</v>
      </c>
      <c r="K423" s="2" t="s">
        <v>2689</v>
      </c>
      <c r="L423" s="2" t="s">
        <v>2690</v>
      </c>
      <c r="M423" s="3" t="str">
        <f>VLOOKUP(G423,справочник!$B$1:$C$94,2,0)</f>
        <v>МСК</v>
      </c>
    </row>
    <row r="424" spans="1:13" ht="42" thickBot="1" x14ac:dyDescent="0.35">
      <c r="A424" s="1" t="s">
        <v>146</v>
      </c>
      <c r="B424" s="1">
        <v>1822</v>
      </c>
      <c r="C424" s="1" t="s">
        <v>2691</v>
      </c>
      <c r="D424" s="2" t="s">
        <v>2692</v>
      </c>
      <c r="E424" s="1" t="s">
        <v>20</v>
      </c>
      <c r="F424" s="1" t="s">
        <v>47</v>
      </c>
      <c r="G424" s="1" t="s">
        <v>48</v>
      </c>
      <c r="H424" s="1" t="s">
        <v>49</v>
      </c>
      <c r="I424" s="1" t="s">
        <v>2694</v>
      </c>
      <c r="J424" s="2" t="s">
        <v>2695</v>
      </c>
      <c r="K424" s="2" t="s">
        <v>2696</v>
      </c>
      <c r="L424" s="2" t="s">
        <v>2693</v>
      </c>
      <c r="M424" s="3" t="str">
        <f>VLOOKUP(G424,справочник!$B$1:$C$94,2,0)</f>
        <v>МСК+2</v>
      </c>
    </row>
    <row r="425" spans="1:13" ht="55.8" thickBot="1" x14ac:dyDescent="0.35">
      <c r="A425" s="1" t="s">
        <v>146</v>
      </c>
      <c r="B425" s="1">
        <v>2264</v>
      </c>
      <c r="C425" s="1" t="s">
        <v>2697</v>
      </c>
      <c r="D425" s="2" t="s">
        <v>2698</v>
      </c>
      <c r="E425" s="1" t="s">
        <v>20</v>
      </c>
      <c r="F425" s="1" t="s">
        <v>36</v>
      </c>
      <c r="G425" s="1" t="s">
        <v>1181</v>
      </c>
      <c r="H425" s="1" t="s">
        <v>1710</v>
      </c>
      <c r="I425" s="1" t="s">
        <v>2701</v>
      </c>
      <c r="J425" s="2" t="s">
        <v>2702</v>
      </c>
      <c r="K425" s="2" t="s">
        <v>2699</v>
      </c>
      <c r="L425" s="2" t="s">
        <v>2700</v>
      </c>
      <c r="M425" s="3" t="str">
        <f>VLOOKUP(G425,справочник!$B$1:$C$94,2,0)</f>
        <v>МСК+4</v>
      </c>
    </row>
    <row r="426" spans="1:13" ht="28.2" thickBot="1" x14ac:dyDescent="0.35">
      <c r="A426" s="1" t="s">
        <v>12</v>
      </c>
      <c r="B426" s="1">
        <v>1364</v>
      </c>
      <c r="C426" s="1" t="s">
        <v>2703</v>
      </c>
      <c r="D426" s="2" t="s">
        <v>2704</v>
      </c>
      <c r="E426" s="1" t="s">
        <v>29</v>
      </c>
      <c r="F426" s="1" t="s">
        <v>109</v>
      </c>
      <c r="G426" s="1" t="s">
        <v>1697</v>
      </c>
      <c r="H426" s="1" t="s">
        <v>2706</v>
      </c>
      <c r="I426" s="1" t="s">
        <v>2707</v>
      </c>
      <c r="J426" s="2" t="s">
        <v>2708</v>
      </c>
      <c r="K426" s="2" t="s">
        <v>2709</v>
      </c>
      <c r="L426" s="2" t="s">
        <v>2705</v>
      </c>
      <c r="M426" s="3" t="str">
        <f>VLOOKUP(G426,справочник!$B$1:$C$94,2,0)</f>
        <v>МСК</v>
      </c>
    </row>
    <row r="427" spans="1:13" ht="28.2" thickBot="1" x14ac:dyDescent="0.35">
      <c r="A427" s="1" t="s">
        <v>12</v>
      </c>
      <c r="B427" s="1">
        <v>1063</v>
      </c>
      <c r="C427" s="1" t="s">
        <v>2710</v>
      </c>
      <c r="D427" s="2" t="s">
        <v>2711</v>
      </c>
      <c r="E427" s="1" t="s">
        <v>29</v>
      </c>
      <c r="F427" s="1" t="s">
        <v>14</v>
      </c>
      <c r="G427" s="1" t="s">
        <v>15</v>
      </c>
      <c r="H427" s="1" t="s">
        <v>16</v>
      </c>
      <c r="I427" s="1" t="s">
        <v>2712</v>
      </c>
      <c r="J427" s="2" t="s">
        <v>2713</v>
      </c>
      <c r="K427" s="2" t="s">
        <v>2714</v>
      </c>
      <c r="L427" s="2" t="s">
        <v>2715</v>
      </c>
      <c r="M427" s="3" t="str">
        <f>VLOOKUP(G427,справочник!$B$1:$C$94,2,0)</f>
        <v>МСК</v>
      </c>
    </row>
    <row r="428" spans="1:13" ht="42" thickBot="1" x14ac:dyDescent="0.35">
      <c r="A428" s="1" t="s">
        <v>146</v>
      </c>
      <c r="B428" s="1">
        <v>2211</v>
      </c>
      <c r="C428" s="1" t="s">
        <v>2716</v>
      </c>
      <c r="D428" s="2" t="s">
        <v>2717</v>
      </c>
      <c r="E428" s="1" t="s">
        <v>20</v>
      </c>
      <c r="F428" s="1" t="s">
        <v>14</v>
      </c>
      <c r="G428" s="1" t="s">
        <v>15</v>
      </c>
      <c r="H428" s="1" t="s">
        <v>16</v>
      </c>
      <c r="I428" s="1" t="s">
        <v>2719</v>
      </c>
      <c r="J428" s="2" t="s">
        <v>2720</v>
      </c>
      <c r="K428" s="2" t="s">
        <v>2721</v>
      </c>
      <c r="L428" s="2" t="s">
        <v>2718</v>
      </c>
      <c r="M428" s="3" t="str">
        <f>VLOOKUP(G428,справочник!$B$1:$C$94,2,0)</f>
        <v>МСК</v>
      </c>
    </row>
    <row r="429" spans="1:13" ht="42" thickBot="1" x14ac:dyDescent="0.35">
      <c r="A429" s="1" t="s">
        <v>146</v>
      </c>
      <c r="B429" s="1">
        <v>2315</v>
      </c>
      <c r="C429" s="1" t="s">
        <v>2722</v>
      </c>
      <c r="D429" s="2" t="s">
        <v>2723</v>
      </c>
      <c r="E429" s="1" t="s">
        <v>20</v>
      </c>
      <c r="F429" s="1" t="s">
        <v>47</v>
      </c>
      <c r="G429" s="1" t="s">
        <v>48</v>
      </c>
      <c r="H429" s="1" t="s">
        <v>49</v>
      </c>
      <c r="I429" s="1" t="s">
        <v>2726</v>
      </c>
      <c r="J429" s="2" t="s">
        <v>2727</v>
      </c>
      <c r="K429" s="2" t="s">
        <v>2724</v>
      </c>
      <c r="L429" s="2" t="s">
        <v>2725</v>
      </c>
      <c r="M429" s="3" t="str">
        <f>VLOOKUP(G429,справочник!$B$1:$C$94,2,0)</f>
        <v>МСК+2</v>
      </c>
    </row>
    <row r="430" spans="1:13" ht="28.2" thickBot="1" x14ac:dyDescent="0.35">
      <c r="A430" s="1" t="s">
        <v>54</v>
      </c>
      <c r="B430" s="1">
        <v>7628</v>
      </c>
      <c r="C430" s="1" t="s">
        <v>2728</v>
      </c>
      <c r="D430" s="2" t="s">
        <v>2729</v>
      </c>
      <c r="E430" s="1" t="s">
        <v>20</v>
      </c>
      <c r="F430" s="1" t="s">
        <v>21</v>
      </c>
      <c r="G430" s="1" t="s">
        <v>1476</v>
      </c>
      <c r="H430" s="1" t="s">
        <v>1492</v>
      </c>
      <c r="I430" s="1" t="s">
        <v>2730</v>
      </c>
      <c r="J430" s="2" t="s">
        <v>2731</v>
      </c>
      <c r="K430" s="2" t="s">
        <v>2732</v>
      </c>
      <c r="L430" s="2" t="s">
        <v>2733</v>
      </c>
      <c r="M430" s="3" t="str">
        <f>VLOOKUP(G430,справочник!$B$1:$C$94,2,0)</f>
        <v>МСК</v>
      </c>
    </row>
    <row r="431" spans="1:13" ht="42" thickBot="1" x14ac:dyDescent="0.35">
      <c r="A431" s="1" t="s">
        <v>146</v>
      </c>
      <c r="B431" s="1">
        <v>2147</v>
      </c>
      <c r="C431" s="1" t="s">
        <v>2734</v>
      </c>
      <c r="D431" s="2" t="s">
        <v>2735</v>
      </c>
      <c r="E431" s="1" t="s">
        <v>20</v>
      </c>
      <c r="F431" s="1" t="s">
        <v>114</v>
      </c>
      <c r="G431" s="1" t="s">
        <v>322</v>
      </c>
      <c r="H431" s="1" t="s">
        <v>1407</v>
      </c>
      <c r="I431" s="1" t="s">
        <v>2737</v>
      </c>
      <c r="J431" s="2" t="s">
        <v>2738</v>
      </c>
      <c r="K431" s="2" t="s">
        <v>2739</v>
      </c>
      <c r="L431" s="2" t="s">
        <v>2736</v>
      </c>
      <c r="M431" s="3" t="str">
        <f>VLOOKUP(G431,справочник!$B$1:$C$94,2,0)</f>
        <v>МСК+7</v>
      </c>
    </row>
    <row r="432" spans="1:13" ht="42" thickBot="1" x14ac:dyDescent="0.35">
      <c r="A432" s="1" t="s">
        <v>12</v>
      </c>
      <c r="B432" s="1">
        <v>7362</v>
      </c>
      <c r="C432" s="1" t="s">
        <v>2740</v>
      </c>
      <c r="D432" s="2" t="s">
        <v>2741</v>
      </c>
      <c r="E432" s="1" t="s">
        <v>20</v>
      </c>
      <c r="F432" s="1" t="s">
        <v>14</v>
      </c>
      <c r="G432" s="1" t="s">
        <v>15</v>
      </c>
      <c r="H432" s="1" t="s">
        <v>16</v>
      </c>
      <c r="I432" s="1" t="s">
        <v>2742</v>
      </c>
      <c r="J432" s="2" t="s">
        <v>2743</v>
      </c>
      <c r="K432" s="2" t="s">
        <v>2744</v>
      </c>
      <c r="L432" s="2" t="s">
        <v>2745</v>
      </c>
      <c r="M432" s="3" t="str">
        <f>VLOOKUP(G432,справочник!$B$1:$C$94,2,0)</f>
        <v>МСК</v>
      </c>
    </row>
    <row r="433" spans="1:13" ht="42" thickBot="1" x14ac:dyDescent="0.35">
      <c r="A433" s="1" t="s">
        <v>146</v>
      </c>
      <c r="B433" s="1">
        <v>1930</v>
      </c>
      <c r="C433" s="1" t="s">
        <v>2746</v>
      </c>
      <c r="D433" s="2" t="s">
        <v>2747</v>
      </c>
      <c r="E433" s="1" t="s">
        <v>20</v>
      </c>
      <c r="F433" s="1" t="s">
        <v>30</v>
      </c>
      <c r="G433" s="1" t="s">
        <v>31</v>
      </c>
      <c r="H433" s="1" t="s">
        <v>32</v>
      </c>
      <c r="I433" s="1" t="s">
        <v>2749</v>
      </c>
      <c r="J433" s="2" t="s">
        <v>2750</v>
      </c>
      <c r="K433" s="2" t="s">
        <v>2751</v>
      </c>
      <c r="L433" s="2" t="s">
        <v>2748</v>
      </c>
      <c r="M433" s="3" t="str">
        <f>VLOOKUP(G433,справочник!$B$1:$C$94,2,0)</f>
        <v>МСК</v>
      </c>
    </row>
    <row r="434" spans="1:13" ht="42" thickBot="1" x14ac:dyDescent="0.35">
      <c r="A434" s="1" t="s">
        <v>146</v>
      </c>
      <c r="B434" s="1">
        <v>2113</v>
      </c>
      <c r="C434" s="1" t="s">
        <v>2752</v>
      </c>
      <c r="D434" s="2" t="s">
        <v>2753</v>
      </c>
      <c r="E434" s="1" t="s">
        <v>20</v>
      </c>
      <c r="F434" s="1" t="s">
        <v>30</v>
      </c>
      <c r="G434" s="1" t="s">
        <v>31</v>
      </c>
      <c r="H434" s="1" t="s">
        <v>32</v>
      </c>
      <c r="I434" s="1" t="s">
        <v>1810</v>
      </c>
      <c r="J434" s="2" t="s">
        <v>2755</v>
      </c>
      <c r="K434" s="2" t="s">
        <v>2756</v>
      </c>
      <c r="L434" s="2" t="s">
        <v>2754</v>
      </c>
      <c r="M434" s="3" t="str">
        <f>VLOOKUP(G434,справочник!$B$1:$C$94,2,0)</f>
        <v>МСК</v>
      </c>
    </row>
    <row r="435" spans="1:13" ht="42" thickBot="1" x14ac:dyDescent="0.35">
      <c r="A435" s="1" t="s">
        <v>146</v>
      </c>
      <c r="B435" s="1">
        <v>2188</v>
      </c>
      <c r="C435" s="1" t="s">
        <v>2757</v>
      </c>
      <c r="D435" s="2" t="s">
        <v>2758</v>
      </c>
      <c r="E435" s="1" t="s">
        <v>20</v>
      </c>
      <c r="F435" s="1" t="s">
        <v>47</v>
      </c>
      <c r="G435" s="1" t="s">
        <v>48</v>
      </c>
      <c r="H435" s="1" t="s">
        <v>49</v>
      </c>
      <c r="I435" s="1" t="s">
        <v>2760</v>
      </c>
      <c r="J435" s="2" t="s">
        <v>2761</v>
      </c>
      <c r="K435" s="2" t="s">
        <v>2762</v>
      </c>
      <c r="L435" s="2" t="s">
        <v>2759</v>
      </c>
      <c r="M435" s="3" t="str">
        <f>VLOOKUP(G435,справочник!$B$1:$C$94,2,0)</f>
        <v>МСК+2</v>
      </c>
    </row>
    <row r="436" spans="1:13" ht="42" thickBot="1" x14ac:dyDescent="0.35">
      <c r="A436" s="1" t="s">
        <v>146</v>
      </c>
      <c r="B436" s="1">
        <v>2237</v>
      </c>
      <c r="C436" s="1" t="s">
        <v>2763</v>
      </c>
      <c r="D436" s="2" t="s">
        <v>2764</v>
      </c>
      <c r="E436" s="1" t="s">
        <v>20</v>
      </c>
      <c r="F436" s="1" t="s">
        <v>14</v>
      </c>
      <c r="G436" s="1" t="s">
        <v>15</v>
      </c>
      <c r="H436" s="1" t="s">
        <v>16</v>
      </c>
      <c r="I436" s="1" t="s">
        <v>2766</v>
      </c>
      <c r="J436" s="2" t="s">
        <v>2767</v>
      </c>
      <c r="K436" s="2" t="s">
        <v>2768</v>
      </c>
      <c r="L436" s="2" t="s">
        <v>2765</v>
      </c>
      <c r="M436" s="3" t="str">
        <f>VLOOKUP(G436,справочник!$B$1:$C$94,2,0)</f>
        <v>МСК</v>
      </c>
    </row>
    <row r="437" spans="1:13" ht="42" thickBot="1" x14ac:dyDescent="0.35">
      <c r="A437" s="1" t="s">
        <v>146</v>
      </c>
      <c r="B437" s="1">
        <v>2013</v>
      </c>
      <c r="C437" s="1" t="s">
        <v>2769</v>
      </c>
      <c r="D437" s="2" t="s">
        <v>2770</v>
      </c>
      <c r="E437" s="1" t="s">
        <v>20</v>
      </c>
      <c r="F437" s="1" t="s">
        <v>14</v>
      </c>
      <c r="G437" s="1" t="s">
        <v>15</v>
      </c>
      <c r="H437" s="1" t="s">
        <v>16</v>
      </c>
      <c r="I437" s="1" t="s">
        <v>2772</v>
      </c>
      <c r="J437" s="2" t="s">
        <v>188</v>
      </c>
      <c r="K437" s="2" t="s">
        <v>2773</v>
      </c>
      <c r="L437" s="2" t="s">
        <v>2771</v>
      </c>
      <c r="M437" s="3" t="str">
        <f>VLOOKUP(G437,справочник!$B$1:$C$94,2,0)</f>
        <v>МСК</v>
      </c>
    </row>
    <row r="438" spans="1:13" ht="42" thickBot="1" x14ac:dyDescent="0.35">
      <c r="A438" s="1" t="s">
        <v>146</v>
      </c>
      <c r="B438" s="1">
        <v>2298</v>
      </c>
      <c r="C438" s="1" t="s">
        <v>2774</v>
      </c>
      <c r="D438" s="2" t="s">
        <v>2775</v>
      </c>
      <c r="E438" s="1" t="s">
        <v>20</v>
      </c>
      <c r="F438" s="1" t="s">
        <v>36</v>
      </c>
      <c r="G438" s="1" t="s">
        <v>1181</v>
      </c>
      <c r="H438" s="1" t="s">
        <v>1710</v>
      </c>
      <c r="I438" s="1" t="s">
        <v>2776</v>
      </c>
      <c r="J438" s="2" t="s">
        <v>394</v>
      </c>
      <c r="K438" s="2" t="s">
        <v>2777</v>
      </c>
      <c r="L438" s="2" t="s">
        <v>2778</v>
      </c>
      <c r="M438" s="3" t="str">
        <f>VLOOKUP(G438,справочник!$B$1:$C$94,2,0)</f>
        <v>МСК+4</v>
      </c>
    </row>
    <row r="439" spans="1:13" ht="42" thickBot="1" x14ac:dyDescent="0.35">
      <c r="A439" s="1" t="s">
        <v>146</v>
      </c>
      <c r="B439" s="1">
        <v>2303</v>
      </c>
      <c r="C439" s="1" t="s">
        <v>2779</v>
      </c>
      <c r="D439" s="2" t="s">
        <v>2780</v>
      </c>
      <c r="E439" s="1" t="s">
        <v>20</v>
      </c>
      <c r="F439" s="1" t="s">
        <v>14</v>
      </c>
      <c r="G439" s="1" t="s">
        <v>15</v>
      </c>
      <c r="H439" s="1" t="s">
        <v>16</v>
      </c>
      <c r="I439" s="1" t="s">
        <v>2782</v>
      </c>
      <c r="J439" s="2" t="s">
        <v>2783</v>
      </c>
      <c r="K439" s="2" t="s">
        <v>2784</v>
      </c>
      <c r="L439" s="2" t="s">
        <v>2781</v>
      </c>
      <c r="M439" s="3" t="str">
        <f>VLOOKUP(G439,справочник!$B$1:$C$94,2,0)</f>
        <v>МСК</v>
      </c>
    </row>
    <row r="440" spans="1:13" ht="42" thickBot="1" x14ac:dyDescent="0.35">
      <c r="A440" s="1" t="s">
        <v>146</v>
      </c>
      <c r="B440" s="1">
        <v>2155</v>
      </c>
      <c r="C440" s="1" t="s">
        <v>2785</v>
      </c>
      <c r="D440" s="2" t="s">
        <v>2786</v>
      </c>
      <c r="E440" s="1" t="s">
        <v>20</v>
      </c>
      <c r="F440" s="1" t="s">
        <v>14</v>
      </c>
      <c r="G440" s="1" t="s">
        <v>15</v>
      </c>
      <c r="H440" s="1" t="s">
        <v>16</v>
      </c>
      <c r="I440" s="1" t="s">
        <v>2787</v>
      </c>
      <c r="J440" s="2" t="s">
        <v>2788</v>
      </c>
      <c r="K440" s="2" t="s">
        <v>2789</v>
      </c>
      <c r="L440" s="2" t="s">
        <v>2790</v>
      </c>
      <c r="M440" s="3" t="str">
        <f>VLOOKUP(G440,справочник!$B$1:$C$94,2,0)</f>
        <v>МСК</v>
      </c>
    </row>
    <row r="441" spans="1:13" ht="42" thickBot="1" x14ac:dyDescent="0.35">
      <c r="A441" s="1" t="s">
        <v>261</v>
      </c>
      <c r="B441" s="1">
        <v>3151</v>
      </c>
      <c r="C441" s="1" t="s">
        <v>2791</v>
      </c>
      <c r="D441" s="2" t="s">
        <v>2792</v>
      </c>
      <c r="E441" s="1" t="s">
        <v>29</v>
      </c>
      <c r="F441" s="1" t="s">
        <v>36</v>
      </c>
      <c r="G441" s="1" t="s">
        <v>330</v>
      </c>
      <c r="H441" s="1" t="s">
        <v>2793</v>
      </c>
      <c r="I441" s="1" t="s">
        <v>2794</v>
      </c>
      <c r="J441" s="2" t="s">
        <v>2795</v>
      </c>
      <c r="K441" s="2" t="s">
        <v>2796</v>
      </c>
      <c r="L441" s="2" t="s">
        <v>2797</v>
      </c>
      <c r="M441" s="3" t="str">
        <f>VLOOKUP(G441,справочник!$B$1:$C$94,2,0)</f>
        <v>МСК+5</v>
      </c>
    </row>
    <row r="442" spans="1:13" ht="42" thickBot="1" x14ac:dyDescent="0.35">
      <c r="A442" s="1" t="s">
        <v>131</v>
      </c>
      <c r="B442" s="1">
        <v>540</v>
      </c>
      <c r="C442" s="1" t="s">
        <v>2798</v>
      </c>
      <c r="D442" s="2" t="s">
        <v>2799</v>
      </c>
      <c r="E442" s="1" t="s">
        <v>29</v>
      </c>
      <c r="F442" s="1" t="s">
        <v>36</v>
      </c>
      <c r="G442" s="1" t="s">
        <v>330</v>
      </c>
      <c r="H442" s="1" t="s">
        <v>411</v>
      </c>
      <c r="I442" s="1" t="s">
        <v>2800</v>
      </c>
      <c r="J442" s="2" t="s">
        <v>1448</v>
      </c>
      <c r="K442" s="2" t="s">
        <v>2801</v>
      </c>
      <c r="L442" s="2" t="s">
        <v>2802</v>
      </c>
      <c r="M442" s="3" t="str">
        <f>VLOOKUP(G442,справочник!$B$1:$C$94,2,0)</f>
        <v>МСК+5</v>
      </c>
    </row>
    <row r="443" spans="1:13" ht="42" thickBot="1" x14ac:dyDescent="0.35">
      <c r="A443" s="1" t="s">
        <v>146</v>
      </c>
      <c r="B443" s="1">
        <v>63</v>
      </c>
      <c r="C443" s="1" t="s">
        <v>2803</v>
      </c>
      <c r="D443" s="2" t="s">
        <v>2804</v>
      </c>
      <c r="E443" s="1" t="s">
        <v>29</v>
      </c>
      <c r="F443" s="1" t="s">
        <v>36</v>
      </c>
      <c r="G443" s="1" t="s">
        <v>330</v>
      </c>
      <c r="H443" s="1" t="s">
        <v>411</v>
      </c>
      <c r="I443" s="1" t="s">
        <v>2805</v>
      </c>
      <c r="J443" s="2" t="s">
        <v>2806</v>
      </c>
      <c r="K443" s="2" t="s">
        <v>2807</v>
      </c>
      <c r="L443" s="2" t="s">
        <v>2808</v>
      </c>
      <c r="M443" s="3" t="str">
        <f>VLOOKUP(G443,справочник!$B$1:$C$94,2,0)</f>
        <v>МСК+5</v>
      </c>
    </row>
    <row r="444" spans="1:13" ht="42" thickBot="1" x14ac:dyDescent="0.35">
      <c r="A444" s="1" t="s">
        <v>1443</v>
      </c>
      <c r="B444" s="1">
        <v>691</v>
      </c>
      <c r="C444" s="1" t="s">
        <v>2809</v>
      </c>
      <c r="D444" s="2" t="s">
        <v>2810</v>
      </c>
      <c r="E444" s="1" t="s">
        <v>29</v>
      </c>
      <c r="F444" s="1" t="s">
        <v>36</v>
      </c>
      <c r="G444" s="1" t="s">
        <v>330</v>
      </c>
      <c r="H444" s="1" t="s">
        <v>411</v>
      </c>
      <c r="I444" s="1" t="s">
        <v>2811</v>
      </c>
      <c r="J444" s="2" t="s">
        <v>2812</v>
      </c>
      <c r="K444" s="2" t="s">
        <v>2813</v>
      </c>
      <c r="L444" s="2" t="s">
        <v>2814</v>
      </c>
      <c r="M444" s="3" t="str">
        <f>VLOOKUP(G444,справочник!$B$1:$C$94,2,0)</f>
        <v>МСК+5</v>
      </c>
    </row>
    <row r="445" spans="1:13" ht="42" thickBot="1" x14ac:dyDescent="0.35">
      <c r="A445" s="1" t="s">
        <v>146</v>
      </c>
      <c r="B445" s="1">
        <v>2056</v>
      </c>
      <c r="C445" s="1" t="s">
        <v>2815</v>
      </c>
      <c r="D445" s="2" t="s">
        <v>2816</v>
      </c>
      <c r="E445" s="1" t="s">
        <v>20</v>
      </c>
      <c r="F445" s="1" t="s">
        <v>36</v>
      </c>
      <c r="G445" s="1" t="s">
        <v>330</v>
      </c>
      <c r="H445" s="1" t="s">
        <v>411</v>
      </c>
      <c r="I445" s="1" t="s">
        <v>2818</v>
      </c>
      <c r="J445" s="2" t="s">
        <v>2819</v>
      </c>
      <c r="K445" s="2" t="s">
        <v>2820</v>
      </c>
      <c r="L445" s="2" t="s">
        <v>2817</v>
      </c>
      <c r="M445" s="3" t="str">
        <f>VLOOKUP(G445,справочник!$B$1:$C$94,2,0)</f>
        <v>МСК+5</v>
      </c>
    </row>
    <row r="446" spans="1:13" ht="42" thickBot="1" x14ac:dyDescent="0.35">
      <c r="A446" s="1" t="s">
        <v>146</v>
      </c>
      <c r="B446" s="1">
        <v>1837</v>
      </c>
      <c r="C446" s="1" t="s">
        <v>2821</v>
      </c>
      <c r="D446" s="2" t="s">
        <v>2822</v>
      </c>
      <c r="E446" s="1" t="s">
        <v>20</v>
      </c>
      <c r="F446" s="1" t="s">
        <v>36</v>
      </c>
      <c r="G446" s="1" t="s">
        <v>330</v>
      </c>
      <c r="H446" s="1" t="s">
        <v>411</v>
      </c>
      <c r="I446" s="1" t="s">
        <v>2823</v>
      </c>
      <c r="J446" s="2" t="s">
        <v>2824</v>
      </c>
      <c r="K446" s="2" t="s">
        <v>2825</v>
      </c>
      <c r="L446" s="2" t="s">
        <v>2826</v>
      </c>
      <c r="M446" s="3" t="str">
        <f>VLOOKUP(G446,справочник!$B$1:$C$94,2,0)</f>
        <v>МСК+5</v>
      </c>
    </row>
    <row r="447" spans="1:13" ht="42" thickBot="1" x14ac:dyDescent="0.35">
      <c r="A447" s="1" t="s">
        <v>146</v>
      </c>
      <c r="B447" s="1">
        <v>62</v>
      </c>
      <c r="C447" s="1" t="s">
        <v>2827</v>
      </c>
      <c r="D447" s="2" t="s">
        <v>2828</v>
      </c>
      <c r="E447" s="1" t="s">
        <v>29</v>
      </c>
      <c r="F447" s="1" t="s">
        <v>36</v>
      </c>
      <c r="G447" s="1" t="s">
        <v>330</v>
      </c>
      <c r="H447" s="1" t="s">
        <v>411</v>
      </c>
      <c r="I447" s="1" t="s">
        <v>2829</v>
      </c>
      <c r="J447" s="2" t="s">
        <v>2830</v>
      </c>
      <c r="K447" s="2" t="s">
        <v>2831</v>
      </c>
      <c r="L447" s="2" t="s">
        <v>2832</v>
      </c>
      <c r="M447" s="3" t="str">
        <f>VLOOKUP(G447,справочник!$B$1:$C$94,2,0)</f>
        <v>МСК+5</v>
      </c>
    </row>
    <row r="448" spans="1:13" ht="55.8" thickBot="1" x14ac:dyDescent="0.35">
      <c r="A448" s="1" t="s">
        <v>17</v>
      </c>
      <c r="B448" s="1">
        <v>7589</v>
      </c>
      <c r="C448" s="1" t="s">
        <v>2833</v>
      </c>
      <c r="D448" s="2" t="s">
        <v>2834</v>
      </c>
      <c r="E448" s="1" t="s">
        <v>20</v>
      </c>
      <c r="F448" s="1" t="s">
        <v>36</v>
      </c>
      <c r="G448" s="1" t="s">
        <v>330</v>
      </c>
      <c r="H448" s="1" t="s">
        <v>411</v>
      </c>
      <c r="I448" s="1" t="s">
        <v>2836</v>
      </c>
      <c r="J448" s="2" t="s">
        <v>2837</v>
      </c>
      <c r="K448" s="2" t="s">
        <v>2838</v>
      </c>
      <c r="L448" s="2" t="s">
        <v>2835</v>
      </c>
      <c r="M448" s="3" t="str">
        <f>VLOOKUP(G448,справочник!$B$1:$C$94,2,0)</f>
        <v>МСК+5</v>
      </c>
    </row>
    <row r="449" spans="1:13" ht="152.4" thickBot="1" x14ac:dyDescent="0.35">
      <c r="A449" s="1" t="s">
        <v>83</v>
      </c>
      <c r="B449" s="1">
        <v>975</v>
      </c>
      <c r="C449" s="1" t="s">
        <v>2839</v>
      </c>
      <c r="D449" s="2" t="s">
        <v>2840</v>
      </c>
      <c r="E449" s="1" t="s">
        <v>20</v>
      </c>
      <c r="F449" s="1" t="s">
        <v>14</v>
      </c>
      <c r="G449" s="1" t="s">
        <v>15</v>
      </c>
      <c r="H449" s="1" t="s">
        <v>16</v>
      </c>
      <c r="I449" s="1" t="s">
        <v>2841</v>
      </c>
      <c r="J449" s="2" t="s">
        <v>2842</v>
      </c>
      <c r="K449" s="2" t="s">
        <v>2843</v>
      </c>
      <c r="L449" s="2" t="s">
        <v>2844</v>
      </c>
      <c r="M449" s="3" t="str">
        <f>VLOOKUP(G449,справочник!$B$1:$C$94,2,0)</f>
        <v>МСК</v>
      </c>
    </row>
    <row r="450" spans="1:13" ht="42" thickBot="1" x14ac:dyDescent="0.35">
      <c r="A450" s="1" t="s">
        <v>261</v>
      </c>
      <c r="B450" s="1">
        <v>786</v>
      </c>
      <c r="C450" s="1" t="s">
        <v>2845</v>
      </c>
      <c r="D450" s="2" t="s">
        <v>2846</v>
      </c>
      <c r="E450" s="1" t="s">
        <v>29</v>
      </c>
      <c r="F450" s="1" t="s">
        <v>109</v>
      </c>
      <c r="G450" s="1" t="s">
        <v>1052</v>
      </c>
      <c r="H450" s="1" t="s">
        <v>1054</v>
      </c>
      <c r="I450" s="1" t="s">
        <v>2847</v>
      </c>
      <c r="J450" s="2" t="s">
        <v>2848</v>
      </c>
      <c r="K450" s="2" t="s">
        <v>2849</v>
      </c>
      <c r="L450" s="2" t="s">
        <v>2850</v>
      </c>
      <c r="M450" s="3" t="str">
        <f>VLOOKUP(G450,справочник!$B$1:$C$94,2,0)</f>
        <v>МСК</v>
      </c>
    </row>
    <row r="451" spans="1:13" ht="42" thickBot="1" x14ac:dyDescent="0.35">
      <c r="A451" s="1" t="s">
        <v>146</v>
      </c>
      <c r="B451" s="1">
        <v>64</v>
      </c>
      <c r="C451" s="1" t="s">
        <v>2851</v>
      </c>
      <c r="D451" s="2" t="s">
        <v>2852</v>
      </c>
      <c r="E451" s="1" t="s">
        <v>29</v>
      </c>
      <c r="F451" s="1" t="s">
        <v>109</v>
      </c>
      <c r="G451" s="1" t="s">
        <v>1052</v>
      </c>
      <c r="H451" s="1" t="s">
        <v>1054</v>
      </c>
      <c r="I451" s="1" t="s">
        <v>2853</v>
      </c>
      <c r="J451" s="2" t="s">
        <v>2854</v>
      </c>
      <c r="K451" s="2" t="s">
        <v>2855</v>
      </c>
      <c r="L451" s="2" t="s">
        <v>2856</v>
      </c>
      <c r="M451" s="3" t="str">
        <f>VLOOKUP(G451,справочник!$B$1:$C$94,2,0)</f>
        <v>МСК</v>
      </c>
    </row>
    <row r="452" spans="1:13" ht="42" thickBot="1" x14ac:dyDescent="0.35">
      <c r="A452" s="1" t="s">
        <v>12</v>
      </c>
      <c r="B452" s="1">
        <v>7423</v>
      </c>
      <c r="C452" s="1" t="s">
        <v>2857</v>
      </c>
      <c r="D452" s="2" t="s">
        <v>2858</v>
      </c>
      <c r="E452" s="1" t="s">
        <v>29</v>
      </c>
      <c r="F452" s="1" t="s">
        <v>222</v>
      </c>
      <c r="G452" s="1" t="s">
        <v>223</v>
      </c>
      <c r="H452" s="1" t="s">
        <v>224</v>
      </c>
      <c r="I452" s="1" t="s">
        <v>2859</v>
      </c>
      <c r="J452" s="2" t="s">
        <v>2860</v>
      </c>
      <c r="K452" s="2" t="s">
        <v>2861</v>
      </c>
      <c r="L452" s="2" t="s">
        <v>2862</v>
      </c>
      <c r="M452" s="3" t="str">
        <f>VLOOKUP(G452,справочник!$B$1:$C$94,2,0)</f>
        <v>МСК</v>
      </c>
    </row>
    <row r="453" spans="1:13" ht="42" thickBot="1" x14ac:dyDescent="0.35">
      <c r="A453" s="1" t="s">
        <v>146</v>
      </c>
      <c r="B453" s="1">
        <v>316</v>
      </c>
      <c r="C453" s="1" t="s">
        <v>2863</v>
      </c>
      <c r="D453" s="2" t="s">
        <v>2864</v>
      </c>
      <c r="E453" s="1" t="s">
        <v>29</v>
      </c>
      <c r="F453" s="1" t="s">
        <v>222</v>
      </c>
      <c r="G453" s="1" t="s">
        <v>223</v>
      </c>
      <c r="H453" s="1" t="s">
        <v>224</v>
      </c>
      <c r="I453" s="1" t="s">
        <v>2865</v>
      </c>
      <c r="J453" s="2" t="s">
        <v>2866</v>
      </c>
      <c r="K453" s="2" t="s">
        <v>2867</v>
      </c>
      <c r="L453" s="2" t="s">
        <v>2868</v>
      </c>
      <c r="M453" s="3" t="str">
        <f>VLOOKUP(G453,справочник!$B$1:$C$94,2,0)</f>
        <v>МСК</v>
      </c>
    </row>
    <row r="454" spans="1:13" ht="42" thickBot="1" x14ac:dyDescent="0.35">
      <c r="A454" s="1" t="s">
        <v>261</v>
      </c>
      <c r="B454" s="1">
        <v>501</v>
      </c>
      <c r="C454" s="1" t="s">
        <v>2869</v>
      </c>
      <c r="D454" s="2" t="s">
        <v>2870</v>
      </c>
      <c r="E454" s="1" t="s">
        <v>29</v>
      </c>
      <c r="F454" s="1" t="s">
        <v>222</v>
      </c>
      <c r="G454" s="1" t="s">
        <v>223</v>
      </c>
      <c r="H454" s="1" t="s">
        <v>224</v>
      </c>
      <c r="I454" s="1" t="s">
        <v>2871</v>
      </c>
      <c r="J454" s="2" t="s">
        <v>2872</v>
      </c>
      <c r="K454" s="2" t="s">
        <v>2873</v>
      </c>
      <c r="L454" s="2" t="s">
        <v>2874</v>
      </c>
      <c r="M454" s="3" t="str">
        <f>VLOOKUP(G454,справочник!$B$1:$C$94,2,0)</f>
        <v>МСК</v>
      </c>
    </row>
    <row r="455" spans="1:13" ht="42" thickBot="1" x14ac:dyDescent="0.35">
      <c r="A455" s="1" t="s">
        <v>146</v>
      </c>
      <c r="B455" s="1">
        <v>65</v>
      </c>
      <c r="C455" s="1" t="s">
        <v>2875</v>
      </c>
      <c r="D455" s="2" t="s">
        <v>2876</v>
      </c>
      <c r="E455" s="1" t="s">
        <v>29</v>
      </c>
      <c r="F455" s="1" t="s">
        <v>222</v>
      </c>
      <c r="G455" s="1" t="s">
        <v>223</v>
      </c>
      <c r="H455" s="1" t="s">
        <v>224</v>
      </c>
      <c r="I455" s="1" t="s">
        <v>2877</v>
      </c>
      <c r="J455" s="2" t="s">
        <v>334</v>
      </c>
      <c r="K455" s="2" t="s">
        <v>2878</v>
      </c>
      <c r="L455" s="2" t="s">
        <v>2879</v>
      </c>
      <c r="M455" s="3" t="str">
        <f>VLOOKUP(G455,справочник!$B$1:$C$94,2,0)</f>
        <v>МСК</v>
      </c>
    </row>
    <row r="456" spans="1:13" ht="28.2" thickBot="1" x14ac:dyDescent="0.35">
      <c r="A456" s="1" t="s">
        <v>177</v>
      </c>
      <c r="B456" s="1">
        <v>503</v>
      </c>
      <c r="C456" s="1" t="s">
        <v>2880</v>
      </c>
      <c r="D456" s="2" t="s">
        <v>2881</v>
      </c>
      <c r="E456" s="1" t="s">
        <v>29</v>
      </c>
      <c r="F456" s="1" t="s">
        <v>222</v>
      </c>
      <c r="G456" s="1" t="s">
        <v>223</v>
      </c>
      <c r="H456" s="1" t="s">
        <v>224</v>
      </c>
      <c r="I456" s="1" t="s">
        <v>2882</v>
      </c>
      <c r="J456" s="2" t="s">
        <v>2883</v>
      </c>
      <c r="K456" s="2" t="s">
        <v>2884</v>
      </c>
      <c r="L456" s="2" t="s">
        <v>2885</v>
      </c>
      <c r="M456" s="3" t="str">
        <f>VLOOKUP(G456,справочник!$B$1:$C$94,2,0)</f>
        <v>МСК</v>
      </c>
    </row>
    <row r="457" spans="1:13" ht="42" thickBot="1" x14ac:dyDescent="0.35">
      <c r="A457" s="1" t="s">
        <v>131</v>
      </c>
      <c r="B457" s="1">
        <v>498</v>
      </c>
      <c r="C457" s="1" t="s">
        <v>2886</v>
      </c>
      <c r="D457" s="2" t="s">
        <v>2887</v>
      </c>
      <c r="E457" s="1" t="s">
        <v>29</v>
      </c>
      <c r="F457" s="1" t="s">
        <v>222</v>
      </c>
      <c r="G457" s="1" t="s">
        <v>223</v>
      </c>
      <c r="H457" s="1" t="s">
        <v>224</v>
      </c>
      <c r="I457" s="1" t="s">
        <v>2889</v>
      </c>
      <c r="J457" s="2" t="s">
        <v>2890</v>
      </c>
      <c r="K457" s="2" t="s">
        <v>2891</v>
      </c>
      <c r="L457" s="2" t="s">
        <v>2888</v>
      </c>
      <c r="M457" s="3" t="str">
        <f>VLOOKUP(G457,справочник!$B$1:$C$94,2,0)</f>
        <v>МСК</v>
      </c>
    </row>
    <row r="458" spans="1:13" ht="42" thickBot="1" x14ac:dyDescent="0.35">
      <c r="A458" s="1" t="s">
        <v>146</v>
      </c>
      <c r="B458" s="1">
        <v>68</v>
      </c>
      <c r="C458" s="1" t="s">
        <v>2892</v>
      </c>
      <c r="D458" s="2" t="s">
        <v>2893</v>
      </c>
      <c r="E458" s="1" t="s">
        <v>29</v>
      </c>
      <c r="F458" s="1" t="s">
        <v>222</v>
      </c>
      <c r="G458" s="1" t="s">
        <v>223</v>
      </c>
      <c r="H458" s="1" t="s">
        <v>224</v>
      </c>
      <c r="I458" s="1" t="s">
        <v>2894</v>
      </c>
      <c r="J458" s="2" t="s">
        <v>2895</v>
      </c>
      <c r="K458" s="2" t="s">
        <v>2896</v>
      </c>
      <c r="L458" s="2" t="s">
        <v>2897</v>
      </c>
      <c r="M458" s="3" t="str">
        <f>VLOOKUP(G458,справочник!$B$1:$C$94,2,0)</f>
        <v>МСК</v>
      </c>
    </row>
    <row r="459" spans="1:13" ht="42" thickBot="1" x14ac:dyDescent="0.35">
      <c r="A459" s="1" t="s">
        <v>12</v>
      </c>
      <c r="B459" s="1">
        <v>3155</v>
      </c>
      <c r="C459" s="1" t="s">
        <v>2898</v>
      </c>
      <c r="D459" s="2" t="s">
        <v>2899</v>
      </c>
      <c r="E459" s="1" t="s">
        <v>29</v>
      </c>
      <c r="F459" s="1" t="s">
        <v>222</v>
      </c>
      <c r="G459" s="1" t="s">
        <v>223</v>
      </c>
      <c r="H459" s="1" t="s">
        <v>224</v>
      </c>
      <c r="I459" s="1" t="s">
        <v>2900</v>
      </c>
      <c r="J459" s="2" t="s">
        <v>2901</v>
      </c>
      <c r="K459" s="2" t="s">
        <v>2902</v>
      </c>
      <c r="L459" s="2" t="s">
        <v>2903</v>
      </c>
      <c r="M459" s="3" t="str">
        <f>VLOOKUP(G459,справочник!$B$1:$C$94,2,0)</f>
        <v>МСК</v>
      </c>
    </row>
    <row r="460" spans="1:13" ht="28.2" thickBot="1" x14ac:dyDescent="0.35">
      <c r="A460" s="1" t="s">
        <v>12</v>
      </c>
      <c r="B460" s="1">
        <v>3341</v>
      </c>
      <c r="C460" s="1" t="s">
        <v>2904</v>
      </c>
      <c r="D460" s="2" t="s">
        <v>2905</v>
      </c>
      <c r="E460" s="1" t="s">
        <v>29</v>
      </c>
      <c r="F460" s="1" t="s">
        <v>222</v>
      </c>
      <c r="G460" s="1" t="s">
        <v>223</v>
      </c>
      <c r="H460" s="1" t="s">
        <v>2907</v>
      </c>
      <c r="I460" s="1" t="s">
        <v>2908</v>
      </c>
      <c r="J460" s="2" t="s">
        <v>2909</v>
      </c>
      <c r="K460" s="2" t="s">
        <v>2910</v>
      </c>
      <c r="L460" s="2" t="s">
        <v>2906</v>
      </c>
      <c r="M460" s="3" t="str">
        <f>VLOOKUP(G460,справочник!$B$1:$C$94,2,0)</f>
        <v>МСК</v>
      </c>
    </row>
    <row r="461" spans="1:13" ht="42" thickBot="1" x14ac:dyDescent="0.35">
      <c r="A461" s="1" t="s">
        <v>146</v>
      </c>
      <c r="B461" s="1">
        <v>66</v>
      </c>
      <c r="C461" s="1" t="s">
        <v>2911</v>
      </c>
      <c r="D461" s="2" t="s">
        <v>2912</v>
      </c>
      <c r="E461" s="1" t="s">
        <v>29</v>
      </c>
      <c r="F461" s="1" t="s">
        <v>222</v>
      </c>
      <c r="G461" s="1" t="s">
        <v>223</v>
      </c>
      <c r="H461" s="1" t="s">
        <v>224</v>
      </c>
      <c r="I461" s="1" t="s">
        <v>2914</v>
      </c>
      <c r="J461" s="2" t="s">
        <v>2915</v>
      </c>
      <c r="K461" s="2" t="s">
        <v>2916</v>
      </c>
      <c r="L461" s="2" t="s">
        <v>2913</v>
      </c>
      <c r="M461" s="3" t="str">
        <f>VLOOKUP(G461,справочник!$B$1:$C$94,2,0)</f>
        <v>МСК</v>
      </c>
    </row>
    <row r="462" spans="1:13" ht="42" thickBot="1" x14ac:dyDescent="0.35">
      <c r="A462" s="1" t="s">
        <v>146</v>
      </c>
      <c r="B462" s="1">
        <v>67</v>
      </c>
      <c r="C462" s="1" t="s">
        <v>2917</v>
      </c>
      <c r="D462" s="2" t="s">
        <v>2918</v>
      </c>
      <c r="E462" s="1" t="s">
        <v>29</v>
      </c>
      <c r="F462" s="1" t="s">
        <v>222</v>
      </c>
      <c r="G462" s="1" t="s">
        <v>223</v>
      </c>
      <c r="H462" s="1" t="s">
        <v>224</v>
      </c>
      <c r="I462" s="1" t="s">
        <v>2919</v>
      </c>
      <c r="J462" s="2" t="s">
        <v>2920</v>
      </c>
      <c r="K462" s="2" t="s">
        <v>2921</v>
      </c>
      <c r="L462" s="2" t="s">
        <v>2922</v>
      </c>
      <c r="M462" s="3" t="str">
        <f>VLOOKUP(G462,справочник!$B$1:$C$94,2,0)</f>
        <v>МСК</v>
      </c>
    </row>
    <row r="463" spans="1:13" ht="42" thickBot="1" x14ac:dyDescent="0.35">
      <c r="A463" s="1" t="s">
        <v>396</v>
      </c>
      <c r="B463" s="1">
        <v>621</v>
      </c>
      <c r="C463" s="1" t="s">
        <v>2923</v>
      </c>
      <c r="D463" s="2" t="s">
        <v>2924</v>
      </c>
      <c r="E463" s="1" t="s">
        <v>29</v>
      </c>
      <c r="F463" s="1" t="s">
        <v>30</v>
      </c>
      <c r="G463" s="1" t="s">
        <v>458</v>
      </c>
      <c r="H463" s="1" t="s">
        <v>459</v>
      </c>
      <c r="I463" s="1" t="s">
        <v>2925</v>
      </c>
      <c r="J463" s="2" t="s">
        <v>2926</v>
      </c>
      <c r="K463" s="2" t="s">
        <v>2927</v>
      </c>
      <c r="L463" s="2" t="s">
        <v>2928</v>
      </c>
      <c r="M463" s="3" t="str">
        <f>VLOOKUP(G463,справочник!$B$1:$C$94,2,0)</f>
        <v>МСК-1</v>
      </c>
    </row>
    <row r="464" spans="1:13" ht="42" thickBot="1" x14ac:dyDescent="0.35">
      <c r="A464" s="1" t="s">
        <v>12</v>
      </c>
      <c r="B464" s="1">
        <v>1307</v>
      </c>
      <c r="C464" s="1" t="s">
        <v>2929</v>
      </c>
      <c r="D464" s="2" t="s">
        <v>2930</v>
      </c>
      <c r="E464" s="1" t="s">
        <v>29</v>
      </c>
      <c r="F464" s="1" t="s">
        <v>30</v>
      </c>
      <c r="G464" s="1" t="s">
        <v>458</v>
      </c>
      <c r="H464" s="1" t="s">
        <v>459</v>
      </c>
      <c r="I464" s="1" t="s">
        <v>2932</v>
      </c>
      <c r="J464" s="2" t="s">
        <v>2933</v>
      </c>
      <c r="K464" s="2" t="s">
        <v>2934</v>
      </c>
      <c r="L464" s="2" t="s">
        <v>2931</v>
      </c>
      <c r="M464" s="3" t="str">
        <f>VLOOKUP(G464,справочник!$B$1:$C$94,2,0)</f>
        <v>МСК-1</v>
      </c>
    </row>
    <row r="465" spans="1:13" ht="42" thickBot="1" x14ac:dyDescent="0.35">
      <c r="A465" s="1" t="s">
        <v>146</v>
      </c>
      <c r="B465" s="1">
        <v>69</v>
      </c>
      <c r="C465" s="1" t="s">
        <v>2935</v>
      </c>
      <c r="D465" s="2" t="s">
        <v>2936</v>
      </c>
      <c r="E465" s="1" t="s">
        <v>29</v>
      </c>
      <c r="F465" s="1" t="s">
        <v>21</v>
      </c>
      <c r="G465" s="1" t="s">
        <v>2937</v>
      </c>
      <c r="H465" s="1" t="s">
        <v>2938</v>
      </c>
      <c r="I465" s="1" t="s">
        <v>2939</v>
      </c>
      <c r="J465" s="2" t="s">
        <v>467</v>
      </c>
      <c r="K465" s="2" t="s">
        <v>2940</v>
      </c>
      <c r="L465" s="2" t="s">
        <v>2941</v>
      </c>
      <c r="M465" s="3" t="str">
        <f>VLOOKUP(G465,справочник!$B$1:$C$94,2,0)</f>
        <v>МСК</v>
      </c>
    </row>
    <row r="466" spans="1:13" ht="42" thickBot="1" x14ac:dyDescent="0.35">
      <c r="A466" s="1" t="s">
        <v>146</v>
      </c>
      <c r="B466" s="1">
        <v>1840</v>
      </c>
      <c r="C466" s="1" t="s">
        <v>2942</v>
      </c>
      <c r="D466" s="2" t="s">
        <v>2943</v>
      </c>
      <c r="E466" s="1" t="s">
        <v>20</v>
      </c>
      <c r="F466" s="1" t="s">
        <v>21</v>
      </c>
      <c r="G466" s="1" t="s">
        <v>2937</v>
      </c>
      <c r="H466" s="1" t="s">
        <v>2938</v>
      </c>
      <c r="I466" s="1" t="s">
        <v>2944</v>
      </c>
      <c r="J466" s="2" t="s">
        <v>2945</v>
      </c>
      <c r="K466" s="2" t="s">
        <v>2946</v>
      </c>
      <c r="L466" s="2" t="s">
        <v>2947</v>
      </c>
      <c r="M466" s="3" t="str">
        <f>VLOOKUP(G466,справочник!$B$1:$C$94,2,0)</f>
        <v>МСК</v>
      </c>
    </row>
    <row r="467" spans="1:13" ht="42" thickBot="1" x14ac:dyDescent="0.35">
      <c r="A467" s="1" t="s">
        <v>12</v>
      </c>
      <c r="B467" s="1">
        <v>7416</v>
      </c>
      <c r="C467" s="1" t="s">
        <v>2948</v>
      </c>
      <c r="D467" s="2" t="s">
        <v>2949</v>
      </c>
      <c r="E467" s="1" t="s">
        <v>29</v>
      </c>
      <c r="F467" s="1" t="s">
        <v>14</v>
      </c>
      <c r="G467" s="1" t="s">
        <v>2527</v>
      </c>
      <c r="H467" s="1" t="s">
        <v>2528</v>
      </c>
      <c r="I467" s="1" t="s">
        <v>2950</v>
      </c>
      <c r="J467" s="2" t="s">
        <v>2951</v>
      </c>
      <c r="K467" s="2" t="s">
        <v>2952</v>
      </c>
      <c r="L467" s="2" t="s">
        <v>2953</v>
      </c>
      <c r="M467" s="3" t="str">
        <f>VLOOKUP(G467,справочник!$B$1:$C$94,2,0)</f>
        <v>МСК</v>
      </c>
    </row>
    <row r="468" spans="1:13" ht="42" thickBot="1" x14ac:dyDescent="0.35">
      <c r="A468" s="1" t="s">
        <v>146</v>
      </c>
      <c r="B468" s="1">
        <v>70</v>
      </c>
      <c r="C468" s="1" t="s">
        <v>2954</v>
      </c>
      <c r="D468" s="2" t="s">
        <v>2955</v>
      </c>
      <c r="E468" s="1" t="s">
        <v>29</v>
      </c>
      <c r="F468" s="1" t="s">
        <v>14</v>
      </c>
      <c r="G468" s="1" t="s">
        <v>2527</v>
      </c>
      <c r="H468" s="1" t="s">
        <v>2528</v>
      </c>
      <c r="I468" s="1" t="s">
        <v>2956</v>
      </c>
      <c r="J468" s="2" t="s">
        <v>2957</v>
      </c>
      <c r="K468" s="2" t="s">
        <v>2958</v>
      </c>
      <c r="L468" s="2" t="s">
        <v>2959</v>
      </c>
      <c r="M468" s="3" t="str">
        <f>VLOOKUP(G468,справочник!$B$1:$C$94,2,0)</f>
        <v>МСК</v>
      </c>
    </row>
    <row r="469" spans="1:13" ht="42" thickBot="1" x14ac:dyDescent="0.35">
      <c r="A469" s="1" t="s">
        <v>12</v>
      </c>
      <c r="B469" s="1">
        <v>492</v>
      </c>
      <c r="C469" s="1" t="s">
        <v>2960</v>
      </c>
      <c r="D469" s="2" t="s">
        <v>2961</v>
      </c>
      <c r="E469" s="1" t="s">
        <v>29</v>
      </c>
      <c r="F469" s="1" t="s">
        <v>222</v>
      </c>
      <c r="G469" s="1" t="s">
        <v>223</v>
      </c>
      <c r="H469" s="1" t="s">
        <v>2963</v>
      </c>
      <c r="I469" s="1" t="s">
        <v>2964</v>
      </c>
      <c r="J469" s="2" t="s">
        <v>2965</v>
      </c>
      <c r="K469" s="2" t="s">
        <v>2966</v>
      </c>
      <c r="L469" s="2" t="s">
        <v>2962</v>
      </c>
      <c r="M469" s="3" t="str">
        <f>VLOOKUP(G469,справочник!$B$1:$C$94,2,0)</f>
        <v>МСК</v>
      </c>
    </row>
    <row r="470" spans="1:13" ht="42" thickBot="1" x14ac:dyDescent="0.35">
      <c r="A470" s="1" t="s">
        <v>396</v>
      </c>
      <c r="B470" s="1">
        <v>648</v>
      </c>
      <c r="C470" s="1" t="s">
        <v>2967</v>
      </c>
      <c r="D470" s="2" t="s">
        <v>2968</v>
      </c>
      <c r="E470" s="1" t="s">
        <v>29</v>
      </c>
      <c r="F470" s="1" t="s">
        <v>114</v>
      </c>
      <c r="G470" s="1" t="s">
        <v>115</v>
      </c>
      <c r="H470" s="1" t="s">
        <v>117</v>
      </c>
      <c r="I470" s="1" t="s">
        <v>2969</v>
      </c>
      <c r="J470" s="2" t="s">
        <v>2970</v>
      </c>
      <c r="K470" s="2" t="s">
        <v>2971</v>
      </c>
      <c r="L470" s="2" t="s">
        <v>2972</v>
      </c>
      <c r="M470" s="3" t="str">
        <f>VLOOKUP(G470,справочник!$B$1:$C$94,2,0)</f>
        <v>МСК+9</v>
      </c>
    </row>
    <row r="471" spans="1:13" ht="42" thickBot="1" x14ac:dyDescent="0.35">
      <c r="A471" s="1" t="s">
        <v>146</v>
      </c>
      <c r="B471" s="1">
        <v>71</v>
      </c>
      <c r="C471" s="1" t="s">
        <v>2973</v>
      </c>
      <c r="D471" s="2" t="s">
        <v>2974</v>
      </c>
      <c r="E471" s="1" t="s">
        <v>29</v>
      </c>
      <c r="F471" s="1" t="s">
        <v>114</v>
      </c>
      <c r="G471" s="1" t="s">
        <v>115</v>
      </c>
      <c r="H471" s="1" t="s">
        <v>117</v>
      </c>
      <c r="I471" s="1" t="s">
        <v>2976</v>
      </c>
      <c r="J471" s="2" t="s">
        <v>2977</v>
      </c>
      <c r="K471" s="2" t="s">
        <v>2975</v>
      </c>
      <c r="L471" s="2" t="s">
        <v>2978</v>
      </c>
      <c r="M471" s="3" t="str">
        <f>VLOOKUP(G471,справочник!$B$1:$C$94,2,0)</f>
        <v>МСК+9</v>
      </c>
    </row>
    <row r="472" spans="1:13" ht="42" thickBot="1" x14ac:dyDescent="0.35">
      <c r="A472" s="1" t="s">
        <v>146</v>
      </c>
      <c r="B472" s="1">
        <v>73</v>
      </c>
      <c r="C472" s="1" t="s">
        <v>2979</v>
      </c>
      <c r="D472" s="2" t="s">
        <v>2980</v>
      </c>
      <c r="E472" s="1" t="s">
        <v>29</v>
      </c>
      <c r="F472" s="1" t="s">
        <v>109</v>
      </c>
      <c r="G472" s="1" t="s">
        <v>2981</v>
      </c>
      <c r="H472" s="1" t="s">
        <v>2983</v>
      </c>
      <c r="I472" s="1" t="s">
        <v>2984</v>
      </c>
      <c r="J472" s="2" t="s">
        <v>481</v>
      </c>
      <c r="K472" s="2" t="s">
        <v>2985</v>
      </c>
      <c r="L472" s="2" t="s">
        <v>2982</v>
      </c>
      <c r="M472" s="3" t="str">
        <f>VLOOKUP(G472,справочник!$B$1:$C$94,2,0)</f>
        <v>МСК</v>
      </c>
    </row>
    <row r="473" spans="1:13" ht="42" thickBot="1" x14ac:dyDescent="0.35">
      <c r="A473" s="1" t="s">
        <v>146</v>
      </c>
      <c r="B473" s="1">
        <v>2055</v>
      </c>
      <c r="C473" s="1" t="s">
        <v>2986</v>
      </c>
      <c r="D473" s="2" t="s">
        <v>2987</v>
      </c>
      <c r="E473" s="1" t="s">
        <v>20</v>
      </c>
      <c r="F473" s="1" t="s">
        <v>30</v>
      </c>
      <c r="G473" s="1" t="s">
        <v>2988</v>
      </c>
      <c r="H473" s="1" t="s">
        <v>2989</v>
      </c>
      <c r="I473" s="1" t="s">
        <v>2990</v>
      </c>
      <c r="J473" s="2" t="s">
        <v>2991</v>
      </c>
      <c r="K473" s="2" t="s">
        <v>2992</v>
      </c>
      <c r="L473" s="2" t="s">
        <v>2993</v>
      </c>
      <c r="M473" s="3" t="str">
        <f>VLOOKUP(G473,справочник!$B$1:$C$94,2,0)</f>
        <v>МСК</v>
      </c>
    </row>
    <row r="474" spans="1:13" ht="42" thickBot="1" x14ac:dyDescent="0.35">
      <c r="A474" s="1" t="s">
        <v>177</v>
      </c>
      <c r="B474" s="1">
        <v>1435</v>
      </c>
      <c r="C474" s="1" t="s">
        <v>2994</v>
      </c>
      <c r="D474" s="2" t="s">
        <v>2995</v>
      </c>
      <c r="E474" s="1" t="s">
        <v>29</v>
      </c>
      <c r="F474" s="1" t="s">
        <v>36</v>
      </c>
      <c r="G474" s="1" t="s">
        <v>2996</v>
      </c>
      <c r="H474" s="1" t="s">
        <v>2998</v>
      </c>
      <c r="I474" s="1" t="s">
        <v>2999</v>
      </c>
      <c r="J474" s="2" t="s">
        <v>3000</v>
      </c>
      <c r="K474" s="2" t="s">
        <v>3001</v>
      </c>
      <c r="L474" s="2" t="s">
        <v>2997</v>
      </c>
      <c r="M474" s="3" t="str">
        <f>VLOOKUP(G474,справочник!$B$1:$C$94,2,0)</f>
        <v>МСК+4</v>
      </c>
    </row>
    <row r="475" spans="1:13" ht="42" thickBot="1" x14ac:dyDescent="0.35">
      <c r="A475" s="1" t="s">
        <v>131</v>
      </c>
      <c r="B475" s="1">
        <v>637</v>
      </c>
      <c r="C475" s="1" t="s">
        <v>3002</v>
      </c>
      <c r="D475" s="2" t="s">
        <v>3003</v>
      </c>
      <c r="E475" s="1" t="s">
        <v>29</v>
      </c>
      <c r="F475" s="1" t="s">
        <v>36</v>
      </c>
      <c r="G475" s="1" t="s">
        <v>2996</v>
      </c>
      <c r="H475" s="1" t="s">
        <v>2998</v>
      </c>
      <c r="I475" s="1" t="s">
        <v>3005</v>
      </c>
      <c r="J475" s="2" t="s">
        <v>867</v>
      </c>
      <c r="K475" s="2" t="s">
        <v>3006</v>
      </c>
      <c r="L475" s="2" t="s">
        <v>3004</v>
      </c>
      <c r="M475" s="3" t="str">
        <f>VLOOKUP(G475,справочник!$B$1:$C$94,2,0)</f>
        <v>МСК+4</v>
      </c>
    </row>
    <row r="476" spans="1:13" ht="42" thickBot="1" x14ac:dyDescent="0.35">
      <c r="A476" s="1" t="s">
        <v>146</v>
      </c>
      <c r="B476" s="1">
        <v>74</v>
      </c>
      <c r="C476" s="1" t="s">
        <v>3007</v>
      </c>
      <c r="D476" s="2" t="s">
        <v>3008</v>
      </c>
      <c r="E476" s="1" t="s">
        <v>29</v>
      </c>
      <c r="F476" s="1" t="s">
        <v>36</v>
      </c>
      <c r="G476" s="1" t="s">
        <v>2996</v>
      </c>
      <c r="H476" s="1" t="s">
        <v>2998</v>
      </c>
      <c r="I476" s="1" t="s">
        <v>3009</v>
      </c>
      <c r="J476" s="2" t="s">
        <v>3010</v>
      </c>
      <c r="K476" s="2" t="s">
        <v>3011</v>
      </c>
      <c r="L476" s="2" t="s">
        <v>3012</v>
      </c>
      <c r="M476" s="3" t="str">
        <f>VLOOKUP(G476,справочник!$B$1:$C$94,2,0)</f>
        <v>МСК+4</v>
      </c>
    </row>
    <row r="477" spans="1:13" ht="28.2" thickBot="1" x14ac:dyDescent="0.35">
      <c r="A477" s="1" t="s">
        <v>396</v>
      </c>
      <c r="B477" s="1">
        <v>619</v>
      </c>
      <c r="C477" s="1" t="s">
        <v>3013</v>
      </c>
      <c r="D477" s="2" t="s">
        <v>3014</v>
      </c>
      <c r="E477" s="1" t="s">
        <v>29</v>
      </c>
      <c r="F477" s="1" t="s">
        <v>21</v>
      </c>
      <c r="G477" s="1" t="s">
        <v>1043</v>
      </c>
      <c r="H477" s="1" t="s">
        <v>3015</v>
      </c>
      <c r="I477" s="1" t="s">
        <v>3016</v>
      </c>
      <c r="J477" s="2" t="s">
        <v>467</v>
      </c>
      <c r="K477" s="2" t="s">
        <v>3017</v>
      </c>
      <c r="L477" s="2" t="s">
        <v>3018</v>
      </c>
      <c r="M477" s="3" t="str">
        <f>VLOOKUP(G477,справочник!$B$1:$C$94,2,0)</f>
        <v>МСК</v>
      </c>
    </row>
    <row r="478" spans="1:13" ht="42" thickBot="1" x14ac:dyDescent="0.35">
      <c r="A478" s="1" t="s">
        <v>131</v>
      </c>
      <c r="B478" s="1">
        <v>633</v>
      </c>
      <c r="C478" s="1" t="s">
        <v>3019</v>
      </c>
      <c r="D478" s="2" t="s">
        <v>3020</v>
      </c>
      <c r="E478" s="1" t="s">
        <v>29</v>
      </c>
      <c r="F478" s="1" t="s">
        <v>222</v>
      </c>
      <c r="G478" s="1" t="s">
        <v>1002</v>
      </c>
      <c r="H478" s="1" t="s">
        <v>1003</v>
      </c>
      <c r="I478" s="1" t="s">
        <v>3022</v>
      </c>
      <c r="J478" s="2" t="s">
        <v>3023</v>
      </c>
      <c r="K478" s="2" t="s">
        <v>3024</v>
      </c>
      <c r="L478" s="2" t="s">
        <v>3021</v>
      </c>
      <c r="M478" s="3" t="str">
        <f>VLOOKUP(G478,справочник!$B$1:$C$94,2,0)</f>
        <v>МСК</v>
      </c>
    </row>
    <row r="479" spans="1:13" ht="55.8" thickBot="1" x14ac:dyDescent="0.35">
      <c r="A479" s="1" t="s">
        <v>1237</v>
      </c>
      <c r="B479" s="1">
        <v>7390</v>
      </c>
      <c r="C479" s="1" t="s">
        <v>3025</v>
      </c>
      <c r="D479" s="2" t="s">
        <v>3026</v>
      </c>
      <c r="E479" s="1" t="s">
        <v>20</v>
      </c>
      <c r="F479" s="1" t="s">
        <v>222</v>
      </c>
      <c r="G479" s="1" t="s">
        <v>1002</v>
      </c>
      <c r="H479" s="1" t="s">
        <v>1003</v>
      </c>
      <c r="I479" s="1" t="s">
        <v>3027</v>
      </c>
      <c r="J479" s="2" t="s">
        <v>467</v>
      </c>
      <c r="K479" s="2" t="s">
        <v>3028</v>
      </c>
      <c r="L479" s="2" t="s">
        <v>3029</v>
      </c>
      <c r="M479" s="3" t="str">
        <f>VLOOKUP(G479,справочник!$B$1:$C$94,2,0)</f>
        <v>МСК</v>
      </c>
    </row>
    <row r="480" spans="1:13" ht="42" thickBot="1" x14ac:dyDescent="0.35">
      <c r="A480" s="1" t="s">
        <v>146</v>
      </c>
      <c r="B480" s="1">
        <v>76</v>
      </c>
      <c r="C480" s="1" t="s">
        <v>3030</v>
      </c>
      <c r="D480" s="2" t="s">
        <v>3031</v>
      </c>
      <c r="E480" s="1" t="s">
        <v>29</v>
      </c>
      <c r="F480" s="1" t="s">
        <v>14</v>
      </c>
      <c r="G480" s="1" t="s">
        <v>637</v>
      </c>
      <c r="H480" s="1" t="s">
        <v>3032</v>
      </c>
      <c r="I480" s="1" t="s">
        <v>3033</v>
      </c>
      <c r="J480" s="2" t="s">
        <v>1463</v>
      </c>
      <c r="K480" s="2" t="s">
        <v>3034</v>
      </c>
      <c r="L480" s="2" t="s">
        <v>3035</v>
      </c>
      <c r="M480" s="3" t="str">
        <f>VLOOKUP(G480,справочник!$B$1:$C$94,2,0)</f>
        <v>МСК</v>
      </c>
    </row>
    <row r="481" spans="1:13" ht="28.2" thickBot="1" x14ac:dyDescent="0.35">
      <c r="A481" s="1" t="s">
        <v>12</v>
      </c>
      <c r="B481" s="1">
        <v>7534</v>
      </c>
      <c r="C481" s="1" t="s">
        <v>3036</v>
      </c>
      <c r="D481" s="2" t="s">
        <v>3037</v>
      </c>
      <c r="E481" s="1" t="s">
        <v>29</v>
      </c>
      <c r="F481" s="1" t="s">
        <v>14</v>
      </c>
      <c r="G481" s="1" t="s">
        <v>43</v>
      </c>
      <c r="H481" s="1" t="s">
        <v>1295</v>
      </c>
      <c r="I481" s="1" t="s">
        <v>3038</v>
      </c>
      <c r="J481" s="2" t="s">
        <v>467</v>
      </c>
      <c r="K481" s="2" t="s">
        <v>3039</v>
      </c>
      <c r="L481" s="2" t="s">
        <v>3040</v>
      </c>
      <c r="M481" s="3" t="str">
        <f>VLOOKUP(G481,справочник!$B$1:$C$94,2,0)</f>
        <v>МСК</v>
      </c>
    </row>
    <row r="482" spans="1:13" ht="28.2" thickBot="1" x14ac:dyDescent="0.35">
      <c r="A482" s="1" t="s">
        <v>54</v>
      </c>
      <c r="B482" s="1">
        <v>3272</v>
      </c>
      <c r="C482" s="1" t="s">
        <v>3041</v>
      </c>
      <c r="D482" s="2" t="s">
        <v>3042</v>
      </c>
      <c r="E482" s="1" t="s">
        <v>29</v>
      </c>
      <c r="F482" s="1" t="s">
        <v>30</v>
      </c>
      <c r="G482" s="1" t="s">
        <v>3043</v>
      </c>
      <c r="H482" s="1" t="s">
        <v>3044</v>
      </c>
      <c r="I482" s="1" t="s">
        <v>3045</v>
      </c>
      <c r="J482" s="2" t="s">
        <v>3046</v>
      </c>
      <c r="K482" s="2" t="s">
        <v>3047</v>
      </c>
      <c r="L482" s="2" t="s">
        <v>3048</v>
      </c>
      <c r="M482" s="3" t="str">
        <f>VLOOKUP(G482,справочник!$B$1:$C$94,2,0)</f>
        <v>МСК</v>
      </c>
    </row>
    <row r="483" spans="1:13" ht="42" thickBot="1" x14ac:dyDescent="0.35">
      <c r="A483" s="1" t="s">
        <v>146</v>
      </c>
      <c r="B483" s="1">
        <v>2114</v>
      </c>
      <c r="C483" s="1" t="s">
        <v>3049</v>
      </c>
      <c r="D483" s="2" t="s">
        <v>3050</v>
      </c>
      <c r="E483" s="1" t="s">
        <v>20</v>
      </c>
      <c r="F483" s="1" t="s">
        <v>109</v>
      </c>
      <c r="G483" s="1" t="s">
        <v>1325</v>
      </c>
      <c r="H483" s="1" t="s">
        <v>1326</v>
      </c>
      <c r="I483" s="1" t="s">
        <v>3052</v>
      </c>
      <c r="J483" s="2" t="s">
        <v>3053</v>
      </c>
      <c r="K483" s="2" t="s">
        <v>3054</v>
      </c>
      <c r="L483" s="2" t="s">
        <v>3051</v>
      </c>
      <c r="M483" s="3" t="str">
        <f>VLOOKUP(G483,справочник!$B$1:$C$94,2,0)</f>
        <v>МСК</v>
      </c>
    </row>
    <row r="484" spans="1:13" ht="42" thickBot="1" x14ac:dyDescent="0.35">
      <c r="A484" s="1" t="s">
        <v>146</v>
      </c>
      <c r="B484" s="1">
        <v>77</v>
      </c>
      <c r="C484" s="1" t="s">
        <v>3055</v>
      </c>
      <c r="D484" s="2" t="s">
        <v>3056</v>
      </c>
      <c r="E484" s="1" t="s">
        <v>29</v>
      </c>
      <c r="F484" s="1" t="s">
        <v>114</v>
      </c>
      <c r="G484" s="1" t="s">
        <v>322</v>
      </c>
      <c r="H484" s="1" t="s">
        <v>324</v>
      </c>
      <c r="I484" s="1" t="s">
        <v>3059</v>
      </c>
      <c r="J484" s="2" t="s">
        <v>3060</v>
      </c>
      <c r="K484" s="2" t="s">
        <v>3057</v>
      </c>
      <c r="L484" s="2" t="s">
        <v>3058</v>
      </c>
      <c r="M484" s="3" t="str">
        <f>VLOOKUP(G484,справочник!$B$1:$C$94,2,0)</f>
        <v>МСК+7</v>
      </c>
    </row>
    <row r="485" spans="1:13" ht="69.599999999999994" thickBot="1" x14ac:dyDescent="0.35">
      <c r="A485" s="1" t="s">
        <v>54</v>
      </c>
      <c r="B485" s="1">
        <v>7602</v>
      </c>
      <c r="C485" s="1" t="s">
        <v>3061</v>
      </c>
      <c r="D485" s="2" t="s">
        <v>3062</v>
      </c>
      <c r="E485" s="1" t="s">
        <v>13</v>
      </c>
      <c r="F485" s="1" t="s">
        <v>14</v>
      </c>
      <c r="G485" s="1" t="s">
        <v>43</v>
      </c>
      <c r="H485" s="1" t="s">
        <v>3063</v>
      </c>
      <c r="I485" s="1" t="s">
        <v>3064</v>
      </c>
      <c r="J485" s="2" t="s">
        <v>3065</v>
      </c>
      <c r="K485" s="2" t="s">
        <v>3066</v>
      </c>
      <c r="L485" s="2" t="s">
        <v>3067</v>
      </c>
      <c r="M485" s="3" t="str">
        <f>VLOOKUP(G485,справочник!$B$1:$C$94,2,0)</f>
        <v>МСК</v>
      </c>
    </row>
    <row r="486" spans="1:13" ht="42" thickBot="1" x14ac:dyDescent="0.35">
      <c r="A486" s="1" t="s">
        <v>261</v>
      </c>
      <c r="B486" s="1">
        <v>955</v>
      </c>
      <c r="C486" s="1" t="s">
        <v>3068</v>
      </c>
      <c r="D486" s="2" t="s">
        <v>3069</v>
      </c>
      <c r="E486" s="1" t="s">
        <v>29</v>
      </c>
      <c r="F486" s="1" t="s">
        <v>14</v>
      </c>
      <c r="G486" s="1" t="s">
        <v>669</v>
      </c>
      <c r="H486" s="1" t="s">
        <v>3070</v>
      </c>
      <c r="I486" s="1" t="s">
        <v>3071</v>
      </c>
      <c r="J486" s="2" t="s">
        <v>3072</v>
      </c>
      <c r="K486" s="2" t="s">
        <v>3073</v>
      </c>
      <c r="L486" s="2" t="s">
        <v>3074</v>
      </c>
      <c r="M486" s="3" t="str">
        <f>VLOOKUP(G486,справочник!$B$1:$C$94,2,0)</f>
        <v>МСК</v>
      </c>
    </row>
    <row r="487" spans="1:13" ht="42" thickBot="1" x14ac:dyDescent="0.35">
      <c r="A487" s="1" t="s">
        <v>146</v>
      </c>
      <c r="B487" s="1">
        <v>78</v>
      </c>
      <c r="C487" s="1" t="s">
        <v>3075</v>
      </c>
      <c r="D487" s="2" t="s">
        <v>3076</v>
      </c>
      <c r="E487" s="1" t="s">
        <v>29</v>
      </c>
      <c r="F487" s="1" t="s">
        <v>14</v>
      </c>
      <c r="G487" s="1" t="s">
        <v>669</v>
      </c>
      <c r="H487" s="1" t="s">
        <v>670</v>
      </c>
      <c r="I487" s="1" t="s">
        <v>3078</v>
      </c>
      <c r="J487" s="2" t="s">
        <v>3079</v>
      </c>
      <c r="K487" s="2" t="s">
        <v>3077</v>
      </c>
      <c r="L487" s="2" t="s">
        <v>3080</v>
      </c>
      <c r="M487" s="3" t="str">
        <f>VLOOKUP(G487,справочник!$B$1:$C$94,2,0)</f>
        <v>МСК</v>
      </c>
    </row>
    <row r="488" spans="1:13" ht="42" thickBot="1" x14ac:dyDescent="0.35">
      <c r="A488" s="1" t="s">
        <v>177</v>
      </c>
      <c r="B488" s="1">
        <v>731</v>
      </c>
      <c r="C488" s="1" t="s">
        <v>3081</v>
      </c>
      <c r="D488" s="2" t="s">
        <v>3082</v>
      </c>
      <c r="E488" s="1" t="s">
        <v>29</v>
      </c>
      <c r="F488" s="1" t="s">
        <v>21</v>
      </c>
      <c r="G488" s="1" t="s">
        <v>199</v>
      </c>
      <c r="H488" s="1" t="s">
        <v>200</v>
      </c>
      <c r="I488" s="1" t="s">
        <v>3084</v>
      </c>
      <c r="J488" s="2" t="s">
        <v>3085</v>
      </c>
      <c r="K488" s="2" t="s">
        <v>3086</v>
      </c>
      <c r="L488" s="2" t="s">
        <v>3083</v>
      </c>
      <c r="M488" s="3" t="str">
        <f>VLOOKUP(G488,справочник!$B$1:$C$94,2,0)</f>
        <v>МСК</v>
      </c>
    </row>
    <row r="489" spans="1:13" ht="55.8" thickBot="1" x14ac:dyDescent="0.35">
      <c r="A489" s="1" t="s">
        <v>146</v>
      </c>
      <c r="B489" s="1">
        <v>2154</v>
      </c>
      <c r="C489" s="1" t="s">
        <v>3087</v>
      </c>
      <c r="D489" s="2" t="s">
        <v>3088</v>
      </c>
      <c r="E489" s="1" t="s">
        <v>20</v>
      </c>
      <c r="F489" s="1" t="s">
        <v>21</v>
      </c>
      <c r="G489" s="1" t="s">
        <v>199</v>
      </c>
      <c r="H489" s="1" t="s">
        <v>3089</v>
      </c>
      <c r="I489" s="1" t="s">
        <v>3090</v>
      </c>
      <c r="J489" s="2" t="s">
        <v>3091</v>
      </c>
      <c r="K489" s="2" t="s">
        <v>3092</v>
      </c>
      <c r="L489" s="2" t="s">
        <v>3093</v>
      </c>
      <c r="M489" s="3" t="str">
        <f>VLOOKUP(G489,справочник!$B$1:$C$94,2,0)</f>
        <v>МСК</v>
      </c>
    </row>
    <row r="490" spans="1:13" ht="42" thickBot="1" x14ac:dyDescent="0.35">
      <c r="A490" s="1" t="s">
        <v>261</v>
      </c>
      <c r="B490" s="1">
        <v>1012</v>
      </c>
      <c r="C490" s="1" t="s">
        <v>3094</v>
      </c>
      <c r="D490" s="2" t="s">
        <v>3095</v>
      </c>
      <c r="E490" s="1" t="s">
        <v>29</v>
      </c>
      <c r="F490" s="1" t="s">
        <v>36</v>
      </c>
      <c r="G490" s="1" t="s">
        <v>37</v>
      </c>
      <c r="H490" s="1" t="s">
        <v>3096</v>
      </c>
      <c r="I490" s="1" t="s">
        <v>3097</v>
      </c>
      <c r="J490" s="2" t="s">
        <v>3098</v>
      </c>
      <c r="K490" s="2" t="s">
        <v>3099</v>
      </c>
      <c r="L490" s="2" t="s">
        <v>3100</v>
      </c>
      <c r="M490" s="3" t="str">
        <f>VLOOKUP(G490,справочник!$B$1:$C$94,2,0)</f>
        <v>МСК+4</v>
      </c>
    </row>
    <row r="491" spans="1:13" ht="42" thickBot="1" x14ac:dyDescent="0.35">
      <c r="A491" s="1" t="s">
        <v>131</v>
      </c>
      <c r="B491" s="1">
        <v>583</v>
      </c>
      <c r="C491" s="1" t="s">
        <v>3101</v>
      </c>
      <c r="D491" s="2" t="s">
        <v>3102</v>
      </c>
      <c r="E491" s="1" t="s">
        <v>29</v>
      </c>
      <c r="F491" s="1" t="s">
        <v>36</v>
      </c>
      <c r="G491" s="1" t="s">
        <v>37</v>
      </c>
      <c r="H491" s="1" t="s">
        <v>3096</v>
      </c>
      <c r="I491" s="1" t="s">
        <v>3103</v>
      </c>
      <c r="J491" s="2" t="s">
        <v>3104</v>
      </c>
      <c r="K491" s="2" t="s">
        <v>3105</v>
      </c>
      <c r="L491" s="2" t="s">
        <v>3106</v>
      </c>
      <c r="M491" s="3" t="str">
        <f>VLOOKUP(G491,справочник!$B$1:$C$94,2,0)</f>
        <v>МСК+4</v>
      </c>
    </row>
    <row r="492" spans="1:13" ht="42" thickBot="1" x14ac:dyDescent="0.35">
      <c r="A492" s="1" t="s">
        <v>168</v>
      </c>
      <c r="B492" s="1">
        <v>80</v>
      </c>
      <c r="C492" s="1" t="s">
        <v>3107</v>
      </c>
      <c r="D492" s="2" t="s">
        <v>3108</v>
      </c>
      <c r="E492" s="1" t="s">
        <v>29</v>
      </c>
      <c r="F492" s="1" t="s">
        <v>36</v>
      </c>
      <c r="G492" s="1" t="s">
        <v>37</v>
      </c>
      <c r="H492" s="1" t="s">
        <v>3096</v>
      </c>
      <c r="I492" s="1" t="s">
        <v>3109</v>
      </c>
      <c r="J492" s="2" t="s">
        <v>3110</v>
      </c>
      <c r="K492" s="2" t="s">
        <v>3111</v>
      </c>
      <c r="L492" s="2" t="s">
        <v>3112</v>
      </c>
      <c r="M492" s="3" t="str">
        <f>VLOOKUP(G492,справочник!$B$1:$C$94,2,0)</f>
        <v>МСК+4</v>
      </c>
    </row>
    <row r="493" spans="1:13" ht="28.2" thickBot="1" x14ac:dyDescent="0.35">
      <c r="A493" s="1" t="s">
        <v>54</v>
      </c>
      <c r="B493" s="1">
        <v>3184</v>
      </c>
      <c r="C493" s="1" t="s">
        <v>3113</v>
      </c>
      <c r="D493" s="2" t="s">
        <v>3114</v>
      </c>
      <c r="E493" s="1" t="s">
        <v>29</v>
      </c>
      <c r="F493" s="1" t="s">
        <v>21</v>
      </c>
      <c r="G493" s="1" t="s">
        <v>1043</v>
      </c>
      <c r="H493" s="1" t="s">
        <v>3116</v>
      </c>
      <c r="I493" s="1" t="s">
        <v>3117</v>
      </c>
      <c r="J493" s="2" t="s">
        <v>467</v>
      </c>
      <c r="K493" s="2" t="s">
        <v>3118</v>
      </c>
      <c r="L493" s="2" t="s">
        <v>3115</v>
      </c>
      <c r="M493" s="3" t="str">
        <f>VLOOKUP(G493,справочник!$B$1:$C$94,2,0)</f>
        <v>МСК</v>
      </c>
    </row>
    <row r="494" spans="1:13" ht="42" thickBot="1" x14ac:dyDescent="0.35">
      <c r="A494" s="1" t="s">
        <v>54</v>
      </c>
      <c r="B494" s="1">
        <v>3334</v>
      </c>
      <c r="C494" s="1" t="s">
        <v>3119</v>
      </c>
      <c r="D494" s="2" t="s">
        <v>3120</v>
      </c>
      <c r="E494" s="1" t="s">
        <v>29</v>
      </c>
      <c r="F494" s="1" t="s">
        <v>21</v>
      </c>
      <c r="G494" s="1" t="s">
        <v>1043</v>
      </c>
      <c r="H494" s="1" t="s">
        <v>3116</v>
      </c>
      <c r="I494" s="1" t="s">
        <v>3121</v>
      </c>
      <c r="J494" s="2" t="s">
        <v>3122</v>
      </c>
      <c r="K494" s="2" t="s">
        <v>3123</v>
      </c>
      <c r="L494" s="2" t="s">
        <v>3124</v>
      </c>
      <c r="M494" s="3" t="str">
        <f>VLOOKUP(G494,справочник!$B$1:$C$94,2,0)</f>
        <v>МСК</v>
      </c>
    </row>
    <row r="495" spans="1:13" ht="42" thickBot="1" x14ac:dyDescent="0.35">
      <c r="A495" s="1" t="s">
        <v>146</v>
      </c>
      <c r="B495" s="1">
        <v>344</v>
      </c>
      <c r="C495" s="1" t="s">
        <v>3125</v>
      </c>
      <c r="D495" s="2" t="s">
        <v>3126</v>
      </c>
      <c r="E495" s="1" t="s">
        <v>29</v>
      </c>
      <c r="F495" s="1" t="s">
        <v>21</v>
      </c>
      <c r="G495" s="1" t="s">
        <v>1043</v>
      </c>
      <c r="H495" s="1" t="s">
        <v>3116</v>
      </c>
      <c r="I495" s="1" t="s">
        <v>3127</v>
      </c>
      <c r="J495" s="2" t="s">
        <v>1526</v>
      </c>
      <c r="K495" s="2" t="s">
        <v>3128</v>
      </c>
      <c r="L495" s="2" t="s">
        <v>3129</v>
      </c>
      <c r="M495" s="3" t="str">
        <f>VLOOKUP(G495,справочник!$B$1:$C$94,2,0)</f>
        <v>МСК</v>
      </c>
    </row>
    <row r="496" spans="1:13" ht="42" thickBot="1" x14ac:dyDescent="0.35">
      <c r="A496" s="1" t="s">
        <v>261</v>
      </c>
      <c r="B496" s="1">
        <v>647</v>
      </c>
      <c r="C496" s="1" t="s">
        <v>3130</v>
      </c>
      <c r="D496" s="2" t="s">
        <v>3131</v>
      </c>
      <c r="E496" s="1" t="s">
        <v>29</v>
      </c>
      <c r="F496" s="1" t="s">
        <v>21</v>
      </c>
      <c r="G496" s="1" t="s">
        <v>199</v>
      </c>
      <c r="H496" s="1" t="s">
        <v>200</v>
      </c>
      <c r="I496" s="1" t="s">
        <v>3132</v>
      </c>
      <c r="J496" s="2" t="s">
        <v>3133</v>
      </c>
      <c r="K496" s="2" t="s">
        <v>3134</v>
      </c>
      <c r="L496" s="2" t="s">
        <v>3135</v>
      </c>
      <c r="M496" s="3" t="str">
        <f>VLOOKUP(G496,справочник!$B$1:$C$94,2,0)</f>
        <v>МСК</v>
      </c>
    </row>
    <row r="497" spans="1:13" ht="42" thickBot="1" x14ac:dyDescent="0.35">
      <c r="A497" s="1" t="s">
        <v>131</v>
      </c>
      <c r="B497" s="1">
        <v>590</v>
      </c>
      <c r="C497" s="1" t="s">
        <v>3136</v>
      </c>
      <c r="D497" s="2" t="s">
        <v>3137</v>
      </c>
      <c r="E497" s="1" t="s">
        <v>29</v>
      </c>
      <c r="F497" s="1" t="s">
        <v>21</v>
      </c>
      <c r="G497" s="1" t="s">
        <v>199</v>
      </c>
      <c r="H497" s="1" t="s">
        <v>200</v>
      </c>
      <c r="I497" s="1" t="s">
        <v>3138</v>
      </c>
      <c r="J497" s="2" t="s">
        <v>232</v>
      </c>
      <c r="K497" s="2" t="s">
        <v>232</v>
      </c>
      <c r="L497" s="2" t="s">
        <v>3139</v>
      </c>
      <c r="M497" s="3" t="str">
        <f>VLOOKUP(G497,справочник!$B$1:$C$94,2,0)</f>
        <v>МСК</v>
      </c>
    </row>
    <row r="498" spans="1:13" ht="42" thickBot="1" x14ac:dyDescent="0.35">
      <c r="A498" s="1" t="s">
        <v>146</v>
      </c>
      <c r="B498" s="1">
        <v>81</v>
      </c>
      <c r="C498" s="1" t="s">
        <v>3140</v>
      </c>
      <c r="D498" s="2" t="s">
        <v>3141</v>
      </c>
      <c r="E498" s="1" t="s">
        <v>29</v>
      </c>
      <c r="F498" s="1" t="s">
        <v>21</v>
      </c>
      <c r="G498" s="1" t="s">
        <v>199</v>
      </c>
      <c r="H498" s="1" t="s">
        <v>200</v>
      </c>
      <c r="I498" s="1" t="s">
        <v>3142</v>
      </c>
      <c r="J498" s="2" t="s">
        <v>3143</v>
      </c>
      <c r="K498" s="2" t="s">
        <v>3144</v>
      </c>
      <c r="L498" s="2" t="s">
        <v>3145</v>
      </c>
      <c r="M498" s="3" t="str">
        <f>VLOOKUP(G498,справочник!$B$1:$C$94,2,0)</f>
        <v>МСК</v>
      </c>
    </row>
    <row r="499" spans="1:13" ht="42" thickBot="1" x14ac:dyDescent="0.35">
      <c r="A499" s="1" t="s">
        <v>146</v>
      </c>
      <c r="B499" s="1">
        <v>82</v>
      </c>
      <c r="C499" s="1" t="s">
        <v>3146</v>
      </c>
      <c r="D499" s="2" t="s">
        <v>3147</v>
      </c>
      <c r="E499" s="1" t="s">
        <v>29</v>
      </c>
      <c r="F499" s="1" t="s">
        <v>21</v>
      </c>
      <c r="G499" s="1" t="s">
        <v>199</v>
      </c>
      <c r="H499" s="1" t="s">
        <v>200</v>
      </c>
      <c r="I499" s="1" t="s">
        <v>3148</v>
      </c>
      <c r="J499" s="2" t="s">
        <v>3149</v>
      </c>
      <c r="K499" s="2" t="s">
        <v>3150</v>
      </c>
      <c r="L499" s="2" t="s">
        <v>3151</v>
      </c>
      <c r="M499" s="3" t="str">
        <f>VLOOKUP(G499,справочник!$B$1:$C$94,2,0)</f>
        <v>МСК</v>
      </c>
    </row>
    <row r="500" spans="1:13" ht="28.2" thickBot="1" x14ac:dyDescent="0.35">
      <c r="A500" s="1" t="s">
        <v>621</v>
      </c>
      <c r="B500" s="1">
        <v>537</v>
      </c>
      <c r="C500" s="1" t="s">
        <v>3152</v>
      </c>
      <c r="D500" s="2" t="s">
        <v>3153</v>
      </c>
      <c r="E500" s="1" t="s">
        <v>29</v>
      </c>
      <c r="F500" s="1" t="s">
        <v>21</v>
      </c>
      <c r="G500" s="1" t="s">
        <v>199</v>
      </c>
      <c r="H500" s="1" t="s">
        <v>200</v>
      </c>
      <c r="I500" s="1" t="s">
        <v>3154</v>
      </c>
      <c r="J500" s="2" t="s">
        <v>3155</v>
      </c>
      <c r="K500" s="2" t="s">
        <v>3156</v>
      </c>
      <c r="L500" s="2" t="s">
        <v>3157</v>
      </c>
      <c r="M500" s="3" t="str">
        <f>VLOOKUP(G500,справочник!$B$1:$C$94,2,0)</f>
        <v>МСК</v>
      </c>
    </row>
    <row r="501" spans="1:13" ht="42" thickBot="1" x14ac:dyDescent="0.35">
      <c r="A501" s="1" t="s">
        <v>12</v>
      </c>
      <c r="B501" s="1">
        <v>7322</v>
      </c>
      <c r="C501" s="1" t="s">
        <v>3158</v>
      </c>
      <c r="D501" s="2" t="s">
        <v>3159</v>
      </c>
      <c r="E501" s="1" t="s">
        <v>29</v>
      </c>
      <c r="F501" s="1" t="s">
        <v>21</v>
      </c>
      <c r="G501" s="1" t="s">
        <v>199</v>
      </c>
      <c r="H501" s="1"/>
      <c r="I501" s="1"/>
      <c r="J501" s="2" t="s">
        <v>268</v>
      </c>
      <c r="K501" s="2" t="s">
        <v>3160</v>
      </c>
      <c r="L501" s="2" t="s">
        <v>3161</v>
      </c>
      <c r="M501" s="3" t="str">
        <f>VLOOKUP(G501,справочник!$B$1:$C$94,2,0)</f>
        <v>МСК</v>
      </c>
    </row>
    <row r="502" spans="1:13" ht="28.2" thickBot="1" x14ac:dyDescent="0.35">
      <c r="A502" s="1" t="s">
        <v>12</v>
      </c>
      <c r="B502" s="1">
        <v>2886</v>
      </c>
      <c r="C502" s="1" t="s">
        <v>3162</v>
      </c>
      <c r="D502" s="2" t="s">
        <v>3163</v>
      </c>
      <c r="E502" s="1" t="s">
        <v>29</v>
      </c>
      <c r="F502" s="1" t="s">
        <v>21</v>
      </c>
      <c r="G502" s="1" t="s">
        <v>199</v>
      </c>
      <c r="H502" s="1" t="s">
        <v>200</v>
      </c>
      <c r="I502" s="1" t="s">
        <v>3165</v>
      </c>
      <c r="J502" s="2" t="s">
        <v>3166</v>
      </c>
      <c r="K502" s="2" t="s">
        <v>3167</v>
      </c>
      <c r="L502" s="2" t="s">
        <v>3164</v>
      </c>
      <c r="M502" s="3" t="str">
        <f>VLOOKUP(G502,справочник!$B$1:$C$94,2,0)</f>
        <v>МСК</v>
      </c>
    </row>
    <row r="503" spans="1:13" ht="42" thickBot="1" x14ac:dyDescent="0.35">
      <c r="A503" s="1" t="s">
        <v>261</v>
      </c>
      <c r="B503" s="1">
        <v>645</v>
      </c>
      <c r="C503" s="1" t="s">
        <v>3168</v>
      </c>
      <c r="D503" s="2" t="s">
        <v>3169</v>
      </c>
      <c r="E503" s="1" t="s">
        <v>29</v>
      </c>
      <c r="F503" s="1" t="s">
        <v>36</v>
      </c>
      <c r="G503" s="1" t="s">
        <v>2996</v>
      </c>
      <c r="H503" s="1" t="s">
        <v>2998</v>
      </c>
      <c r="I503" s="1" t="s">
        <v>3171</v>
      </c>
      <c r="J503" s="2" t="s">
        <v>3172</v>
      </c>
      <c r="K503" s="2" t="s">
        <v>3173</v>
      </c>
      <c r="L503" s="2" t="s">
        <v>3170</v>
      </c>
      <c r="M503" s="3" t="str">
        <f>VLOOKUP(G503,справочник!$B$1:$C$94,2,0)</f>
        <v>МСК+4</v>
      </c>
    </row>
    <row r="504" spans="1:13" ht="83.4" thickBot="1" x14ac:dyDescent="0.35">
      <c r="A504" s="1" t="s">
        <v>146</v>
      </c>
      <c r="B504" s="1">
        <v>83</v>
      </c>
      <c r="C504" s="1" t="s">
        <v>3174</v>
      </c>
      <c r="D504" s="2" t="s">
        <v>3175</v>
      </c>
      <c r="E504" s="1" t="s">
        <v>29</v>
      </c>
      <c r="F504" s="1" t="s">
        <v>36</v>
      </c>
      <c r="G504" s="1" t="s">
        <v>2996</v>
      </c>
      <c r="H504" s="1" t="s">
        <v>2998</v>
      </c>
      <c r="I504" s="1" t="s">
        <v>3176</v>
      </c>
      <c r="J504" s="2" t="s">
        <v>3177</v>
      </c>
      <c r="K504" s="2" t="s">
        <v>3178</v>
      </c>
      <c r="L504" s="2" t="s">
        <v>3179</v>
      </c>
      <c r="M504" s="3" t="str">
        <f>VLOOKUP(G504,справочник!$B$1:$C$94,2,0)</f>
        <v>МСК+4</v>
      </c>
    </row>
    <row r="505" spans="1:13" ht="42" thickBot="1" x14ac:dyDescent="0.35">
      <c r="A505" s="1" t="s">
        <v>146</v>
      </c>
      <c r="B505" s="1">
        <v>84</v>
      </c>
      <c r="C505" s="1" t="s">
        <v>3181</v>
      </c>
      <c r="D505" s="2" t="s">
        <v>3182</v>
      </c>
      <c r="E505" s="1" t="s">
        <v>29</v>
      </c>
      <c r="F505" s="1" t="s">
        <v>47</v>
      </c>
      <c r="G505" s="1" t="s">
        <v>3183</v>
      </c>
      <c r="H505" s="1" t="s">
        <v>3184</v>
      </c>
      <c r="I505" s="1" t="s">
        <v>3185</v>
      </c>
      <c r="J505" s="2" t="s">
        <v>3186</v>
      </c>
      <c r="K505" s="2" t="s">
        <v>3187</v>
      </c>
      <c r="L505" s="2" t="s">
        <v>3188</v>
      </c>
      <c r="M505" s="3" t="str">
        <f>VLOOKUP(G505,справочник!$B$1:$C$94,2,0)</f>
        <v>МСК+2</v>
      </c>
    </row>
    <row r="506" spans="1:13" ht="42" thickBot="1" x14ac:dyDescent="0.35">
      <c r="A506" s="1" t="s">
        <v>54</v>
      </c>
      <c r="B506" s="1">
        <v>3172</v>
      </c>
      <c r="C506" s="1" t="s">
        <v>3189</v>
      </c>
      <c r="D506" s="2" t="s">
        <v>3190</v>
      </c>
      <c r="E506" s="1" t="s">
        <v>29</v>
      </c>
      <c r="F506" s="1" t="s">
        <v>14</v>
      </c>
      <c r="G506" s="1" t="s">
        <v>3191</v>
      </c>
      <c r="H506" s="1" t="s">
        <v>3192</v>
      </c>
      <c r="I506" s="1" t="s">
        <v>3193</v>
      </c>
      <c r="J506" s="2" t="s">
        <v>3194</v>
      </c>
      <c r="K506" s="2" t="s">
        <v>3195</v>
      </c>
      <c r="L506" s="2" t="s">
        <v>3196</v>
      </c>
      <c r="M506" s="3" t="str">
        <f>VLOOKUP(G506,справочник!$B$1:$C$94,2,0)</f>
        <v>МСК</v>
      </c>
    </row>
    <row r="507" spans="1:13" ht="42" thickBot="1" x14ac:dyDescent="0.35">
      <c r="A507" s="1" t="s">
        <v>261</v>
      </c>
      <c r="B507" s="1">
        <v>739</v>
      </c>
      <c r="C507" s="1" t="s">
        <v>3197</v>
      </c>
      <c r="D507" s="2" t="s">
        <v>3198</v>
      </c>
      <c r="E507" s="1" t="s">
        <v>29</v>
      </c>
      <c r="F507" s="1" t="s">
        <v>14</v>
      </c>
      <c r="G507" s="1" t="s">
        <v>3191</v>
      </c>
      <c r="H507" s="1" t="s">
        <v>3192</v>
      </c>
      <c r="I507" s="1" t="s">
        <v>3199</v>
      </c>
      <c r="J507" s="2" t="s">
        <v>3200</v>
      </c>
      <c r="K507" s="2" t="s">
        <v>3201</v>
      </c>
      <c r="L507" s="2" t="s">
        <v>3202</v>
      </c>
      <c r="M507" s="3" t="str">
        <f>VLOOKUP(G507,справочник!$B$1:$C$94,2,0)</f>
        <v>МСК</v>
      </c>
    </row>
    <row r="508" spans="1:13" ht="42" thickBot="1" x14ac:dyDescent="0.35">
      <c r="A508" s="1" t="s">
        <v>131</v>
      </c>
      <c r="B508" s="1">
        <v>579</v>
      </c>
      <c r="C508" s="1" t="s">
        <v>3203</v>
      </c>
      <c r="D508" s="2" t="s">
        <v>3204</v>
      </c>
      <c r="E508" s="1" t="s">
        <v>29</v>
      </c>
      <c r="F508" s="1" t="s">
        <v>14</v>
      </c>
      <c r="G508" s="1" t="s">
        <v>3191</v>
      </c>
      <c r="H508" s="1" t="s">
        <v>3205</v>
      </c>
      <c r="I508" s="1" t="s">
        <v>3206</v>
      </c>
      <c r="J508" s="2" t="s">
        <v>3207</v>
      </c>
      <c r="K508" s="2" t="s">
        <v>3208</v>
      </c>
      <c r="L508" s="2" t="s">
        <v>3209</v>
      </c>
      <c r="M508" s="3" t="str">
        <f>VLOOKUP(G508,справочник!$B$1:$C$94,2,0)</f>
        <v>МСК</v>
      </c>
    </row>
    <row r="509" spans="1:13" ht="42" thickBot="1" x14ac:dyDescent="0.35">
      <c r="A509" s="1" t="s">
        <v>146</v>
      </c>
      <c r="B509" s="1">
        <v>86</v>
      </c>
      <c r="C509" s="1" t="s">
        <v>3210</v>
      </c>
      <c r="D509" s="2" t="s">
        <v>3211</v>
      </c>
      <c r="E509" s="1" t="s">
        <v>29</v>
      </c>
      <c r="F509" s="1" t="s">
        <v>14</v>
      </c>
      <c r="G509" s="1" t="s">
        <v>3191</v>
      </c>
      <c r="H509" s="1" t="s">
        <v>3192</v>
      </c>
      <c r="I509" s="1" t="s">
        <v>3213</v>
      </c>
      <c r="J509" s="2" t="s">
        <v>3214</v>
      </c>
      <c r="K509" s="2" t="s">
        <v>3215</v>
      </c>
      <c r="L509" s="2" t="s">
        <v>3212</v>
      </c>
      <c r="M509" s="3" t="str">
        <f>VLOOKUP(G509,справочник!$B$1:$C$94,2,0)</f>
        <v>МСК</v>
      </c>
    </row>
    <row r="510" spans="1:13" ht="28.2" thickBot="1" x14ac:dyDescent="0.35">
      <c r="A510" s="1" t="s">
        <v>12</v>
      </c>
      <c r="B510" s="1">
        <v>3374</v>
      </c>
      <c r="C510" s="1" t="s">
        <v>3216</v>
      </c>
      <c r="D510" s="2" t="s">
        <v>3217</v>
      </c>
      <c r="E510" s="1" t="s">
        <v>29</v>
      </c>
      <c r="F510" s="1" t="s">
        <v>14</v>
      </c>
      <c r="G510" s="1" t="s">
        <v>3191</v>
      </c>
      <c r="H510" s="1" t="s">
        <v>3192</v>
      </c>
      <c r="I510" s="1" t="s">
        <v>3218</v>
      </c>
      <c r="J510" s="2" t="s">
        <v>3219</v>
      </c>
      <c r="K510" s="2" t="s">
        <v>3220</v>
      </c>
      <c r="L510" s="2" t="s">
        <v>3221</v>
      </c>
      <c r="M510" s="3" t="str">
        <f>VLOOKUP(G510,справочник!$B$1:$C$94,2,0)</f>
        <v>МСК</v>
      </c>
    </row>
    <row r="511" spans="1:13" ht="42" thickBot="1" x14ac:dyDescent="0.35">
      <c r="A511" s="1" t="s">
        <v>146</v>
      </c>
      <c r="B511" s="1">
        <v>2106</v>
      </c>
      <c r="C511" s="1" t="s">
        <v>3222</v>
      </c>
      <c r="D511" s="2" t="s">
        <v>3223</v>
      </c>
      <c r="E511" s="1" t="s">
        <v>20</v>
      </c>
      <c r="F511" s="1" t="s">
        <v>14</v>
      </c>
      <c r="G511" s="1" t="s">
        <v>3191</v>
      </c>
      <c r="H511" s="1" t="s">
        <v>3192</v>
      </c>
      <c r="I511" s="1" t="s">
        <v>3199</v>
      </c>
      <c r="J511" s="2" t="s">
        <v>3224</v>
      </c>
      <c r="K511" s="2" t="s">
        <v>3225</v>
      </c>
      <c r="L511" s="2" t="s">
        <v>3226</v>
      </c>
      <c r="M511" s="3" t="str">
        <f>VLOOKUP(G511,справочник!$B$1:$C$94,2,0)</f>
        <v>МСК</v>
      </c>
    </row>
    <row r="512" spans="1:13" ht="42" thickBot="1" x14ac:dyDescent="0.35">
      <c r="A512" s="1" t="s">
        <v>54</v>
      </c>
      <c r="B512" s="1">
        <v>3220</v>
      </c>
      <c r="C512" s="1" t="s">
        <v>3227</v>
      </c>
      <c r="D512" s="2" t="s">
        <v>3228</v>
      </c>
      <c r="E512" s="1" t="s">
        <v>29</v>
      </c>
      <c r="F512" s="1" t="s">
        <v>30</v>
      </c>
      <c r="G512" s="1" t="s">
        <v>31</v>
      </c>
      <c r="H512" s="1" t="s">
        <v>955</v>
      </c>
      <c r="I512" s="1" t="s">
        <v>3229</v>
      </c>
      <c r="J512" s="2" t="s">
        <v>3230</v>
      </c>
      <c r="K512" s="2" t="s">
        <v>3231</v>
      </c>
      <c r="L512" s="2" t="s">
        <v>3232</v>
      </c>
      <c r="M512" s="3" t="str">
        <f>VLOOKUP(G512,справочник!$B$1:$C$94,2,0)</f>
        <v>МСК</v>
      </c>
    </row>
    <row r="513" spans="1:13" ht="42" thickBot="1" x14ac:dyDescent="0.35">
      <c r="A513" s="1" t="s">
        <v>146</v>
      </c>
      <c r="B513" s="1">
        <v>2140</v>
      </c>
      <c r="C513" s="1" t="s">
        <v>3233</v>
      </c>
      <c r="D513" s="2" t="s">
        <v>3234</v>
      </c>
      <c r="E513" s="1" t="s">
        <v>20</v>
      </c>
      <c r="F513" s="1" t="s">
        <v>36</v>
      </c>
      <c r="G513" s="1" t="s">
        <v>330</v>
      </c>
      <c r="H513" s="1" t="s">
        <v>411</v>
      </c>
      <c r="I513" s="1" t="s">
        <v>3236</v>
      </c>
      <c r="J513" s="2" t="s">
        <v>3237</v>
      </c>
      <c r="K513" s="2" t="s">
        <v>3238</v>
      </c>
      <c r="L513" s="2" t="s">
        <v>3235</v>
      </c>
      <c r="M513" s="3" t="str">
        <f>VLOOKUP(G513,справочник!$B$1:$C$94,2,0)</f>
        <v>МСК+5</v>
      </c>
    </row>
    <row r="514" spans="1:13" ht="42" thickBot="1" x14ac:dyDescent="0.35">
      <c r="A514" s="1" t="s">
        <v>168</v>
      </c>
      <c r="B514" s="1">
        <v>87</v>
      </c>
      <c r="C514" s="1" t="s">
        <v>3239</v>
      </c>
      <c r="D514" s="2" t="s">
        <v>3240</v>
      </c>
      <c r="E514" s="1" t="s">
        <v>29</v>
      </c>
      <c r="F514" s="1" t="s">
        <v>14</v>
      </c>
      <c r="G514" s="1" t="s">
        <v>1609</v>
      </c>
      <c r="H514" s="1" t="s">
        <v>3241</v>
      </c>
      <c r="I514" s="1" t="s">
        <v>3242</v>
      </c>
      <c r="J514" s="2" t="s">
        <v>1570</v>
      </c>
      <c r="K514" s="2" t="s">
        <v>3243</v>
      </c>
      <c r="L514" s="2" t="s">
        <v>3244</v>
      </c>
      <c r="M514" s="3" t="str">
        <f>VLOOKUP(G514,справочник!$B$1:$C$94,2,0)</f>
        <v>МСК</v>
      </c>
    </row>
    <row r="515" spans="1:13" ht="42" thickBot="1" x14ac:dyDescent="0.35">
      <c r="A515" s="1" t="s">
        <v>146</v>
      </c>
      <c r="B515" s="1">
        <v>88</v>
      </c>
      <c r="C515" s="1" t="s">
        <v>3245</v>
      </c>
      <c r="D515" s="2" t="s">
        <v>3246</v>
      </c>
      <c r="E515" s="1" t="s">
        <v>29</v>
      </c>
      <c r="F515" s="1" t="s">
        <v>14</v>
      </c>
      <c r="G515" s="1" t="s">
        <v>1609</v>
      </c>
      <c r="H515" s="1" t="s">
        <v>3241</v>
      </c>
      <c r="I515" s="1" t="s">
        <v>3247</v>
      </c>
      <c r="J515" s="2" t="s">
        <v>3248</v>
      </c>
      <c r="K515" s="2" t="s">
        <v>3249</v>
      </c>
      <c r="L515" s="2" t="s">
        <v>3250</v>
      </c>
      <c r="M515" s="3" t="str">
        <f>VLOOKUP(G515,справочник!$B$1:$C$94,2,0)</f>
        <v>МСК</v>
      </c>
    </row>
    <row r="516" spans="1:13" ht="42" thickBot="1" x14ac:dyDescent="0.35">
      <c r="A516" s="1" t="s">
        <v>177</v>
      </c>
      <c r="B516" s="1">
        <v>744</v>
      </c>
      <c r="C516" s="1" t="s">
        <v>3251</v>
      </c>
      <c r="D516" s="2" t="s">
        <v>3252</v>
      </c>
      <c r="E516" s="1" t="s">
        <v>29</v>
      </c>
      <c r="F516" s="1" t="s">
        <v>14</v>
      </c>
      <c r="G516" s="1" t="s">
        <v>15</v>
      </c>
      <c r="H516" s="1" t="s">
        <v>3253</v>
      </c>
      <c r="I516" s="1" t="s">
        <v>3254</v>
      </c>
      <c r="J516" s="2" t="s">
        <v>3255</v>
      </c>
      <c r="K516" s="2" t="s">
        <v>3256</v>
      </c>
      <c r="L516" s="2" t="s">
        <v>3257</v>
      </c>
      <c r="M516" s="3" t="str">
        <f>VLOOKUP(G516,справочник!$B$1:$C$94,2,0)</f>
        <v>МСК</v>
      </c>
    </row>
    <row r="517" spans="1:13" ht="42" thickBot="1" x14ac:dyDescent="0.35">
      <c r="A517" s="1" t="s">
        <v>177</v>
      </c>
      <c r="B517" s="1">
        <v>4003</v>
      </c>
      <c r="C517" s="1" t="s">
        <v>3258</v>
      </c>
      <c r="D517" s="2" t="s">
        <v>3259</v>
      </c>
      <c r="E517" s="1" t="s">
        <v>29</v>
      </c>
      <c r="F517" s="1" t="s">
        <v>21</v>
      </c>
      <c r="G517" s="1" t="s">
        <v>1484</v>
      </c>
      <c r="H517" s="1" t="s">
        <v>3261</v>
      </c>
      <c r="I517" s="1" t="s">
        <v>3262</v>
      </c>
      <c r="J517" s="2" t="s">
        <v>3263</v>
      </c>
      <c r="K517" s="2" t="s">
        <v>3264</v>
      </c>
      <c r="L517" s="2" t="s">
        <v>3260</v>
      </c>
      <c r="M517" s="3" t="str">
        <f>VLOOKUP(G517,справочник!$B$1:$C$94,2,0)</f>
        <v>МСК</v>
      </c>
    </row>
    <row r="518" spans="1:13" ht="42" thickBot="1" x14ac:dyDescent="0.35">
      <c r="A518" s="1" t="s">
        <v>261</v>
      </c>
      <c r="B518" s="1">
        <v>4057</v>
      </c>
      <c r="C518" s="1" t="s">
        <v>3265</v>
      </c>
      <c r="D518" s="2" t="s">
        <v>3266</v>
      </c>
      <c r="E518" s="1" t="s">
        <v>29</v>
      </c>
      <c r="F518" s="1" t="s">
        <v>21</v>
      </c>
      <c r="G518" s="1" t="s">
        <v>1484</v>
      </c>
      <c r="H518" s="1" t="s">
        <v>3261</v>
      </c>
      <c r="I518" s="1" t="s">
        <v>3267</v>
      </c>
      <c r="J518" s="2" t="s">
        <v>3268</v>
      </c>
      <c r="K518" s="2" t="s">
        <v>3269</v>
      </c>
      <c r="L518" s="2" t="s">
        <v>3270</v>
      </c>
      <c r="M518" s="3" t="str">
        <f>VLOOKUP(G518,справочник!$B$1:$C$94,2,0)</f>
        <v>МСК</v>
      </c>
    </row>
    <row r="519" spans="1:13" ht="28.2" thickBot="1" x14ac:dyDescent="0.35">
      <c r="A519" s="1" t="s">
        <v>131</v>
      </c>
      <c r="B519" s="1">
        <v>3977</v>
      </c>
      <c r="C519" s="1" t="s">
        <v>3271</v>
      </c>
      <c r="D519" s="2" t="s">
        <v>3272</v>
      </c>
      <c r="E519" s="1" t="s">
        <v>29</v>
      </c>
      <c r="F519" s="1" t="s">
        <v>21</v>
      </c>
      <c r="G519" s="1" t="s">
        <v>1484</v>
      </c>
      <c r="H519" s="1" t="s">
        <v>3261</v>
      </c>
      <c r="I519" s="1" t="s">
        <v>3273</v>
      </c>
      <c r="J519" s="2" t="s">
        <v>3274</v>
      </c>
      <c r="K519" s="2" t="s">
        <v>3275</v>
      </c>
      <c r="L519" s="2" t="s">
        <v>3276</v>
      </c>
      <c r="M519" s="3" t="str">
        <f>VLOOKUP(G519,справочник!$B$1:$C$94,2,0)</f>
        <v>МСК</v>
      </c>
    </row>
    <row r="520" spans="1:13" ht="42" thickBot="1" x14ac:dyDescent="0.35">
      <c r="A520" s="1" t="s">
        <v>168</v>
      </c>
      <c r="B520" s="1">
        <v>4039</v>
      </c>
      <c r="C520" s="1" t="s">
        <v>3277</v>
      </c>
      <c r="D520" s="2" t="s">
        <v>3278</v>
      </c>
      <c r="E520" s="1" t="s">
        <v>29</v>
      </c>
      <c r="F520" s="1" t="s">
        <v>21</v>
      </c>
      <c r="G520" s="1" t="s">
        <v>1484</v>
      </c>
      <c r="H520" s="1" t="s">
        <v>3280</v>
      </c>
      <c r="I520" s="1" t="s">
        <v>3281</v>
      </c>
      <c r="J520" s="2" t="s">
        <v>3282</v>
      </c>
      <c r="K520" s="2" t="s">
        <v>3283</v>
      </c>
      <c r="L520" s="2" t="s">
        <v>3279</v>
      </c>
      <c r="M520" s="3" t="str">
        <f>VLOOKUP(G520,справочник!$B$1:$C$94,2,0)</f>
        <v>МСК</v>
      </c>
    </row>
    <row r="521" spans="1:13" ht="42" thickBot="1" x14ac:dyDescent="0.35">
      <c r="A521" s="1" t="s">
        <v>146</v>
      </c>
      <c r="B521" s="1">
        <v>3970</v>
      </c>
      <c r="C521" s="1" t="s">
        <v>3284</v>
      </c>
      <c r="D521" s="2" t="s">
        <v>3285</v>
      </c>
      <c r="E521" s="1" t="s">
        <v>29</v>
      </c>
      <c r="F521" s="1" t="s">
        <v>21</v>
      </c>
      <c r="G521" s="1" t="s">
        <v>1484</v>
      </c>
      <c r="H521" s="1" t="s">
        <v>3261</v>
      </c>
      <c r="I521" s="1" t="s">
        <v>3286</v>
      </c>
      <c r="J521" s="2" t="s">
        <v>3287</v>
      </c>
      <c r="K521" s="2" t="s">
        <v>3288</v>
      </c>
      <c r="L521" s="2" t="s">
        <v>3289</v>
      </c>
      <c r="M521" s="3" t="str">
        <f>VLOOKUP(G521,справочник!$B$1:$C$94,2,0)</f>
        <v>МСК</v>
      </c>
    </row>
    <row r="522" spans="1:13" ht="42" thickBot="1" x14ac:dyDescent="0.35">
      <c r="A522" s="1" t="s">
        <v>54</v>
      </c>
      <c r="B522" s="1">
        <v>3335</v>
      </c>
      <c r="C522" s="1" t="s">
        <v>3290</v>
      </c>
      <c r="D522" s="2" t="s">
        <v>3291</v>
      </c>
      <c r="E522" s="1" t="s">
        <v>29</v>
      </c>
      <c r="F522" s="1" t="s">
        <v>47</v>
      </c>
      <c r="G522" s="1" t="s">
        <v>125</v>
      </c>
      <c r="H522" s="1" t="s">
        <v>3293</v>
      </c>
      <c r="I522" s="1" t="s">
        <v>3294</v>
      </c>
      <c r="J522" s="2" t="s">
        <v>467</v>
      </c>
      <c r="K522" s="2" t="s">
        <v>3295</v>
      </c>
      <c r="L522" s="2" t="s">
        <v>3292</v>
      </c>
      <c r="M522" s="3" t="str">
        <f>VLOOKUP(G522,справочник!$B$1:$C$94,2,0)</f>
        <v>МСК+2</v>
      </c>
    </row>
    <row r="523" spans="1:13" ht="42" thickBot="1" x14ac:dyDescent="0.35">
      <c r="A523" s="1" t="s">
        <v>146</v>
      </c>
      <c r="B523" s="1">
        <v>89</v>
      </c>
      <c r="C523" s="1" t="s">
        <v>3296</v>
      </c>
      <c r="D523" s="2" t="s">
        <v>3297</v>
      </c>
      <c r="E523" s="1" t="s">
        <v>29</v>
      </c>
      <c r="F523" s="1" t="s">
        <v>47</v>
      </c>
      <c r="G523" s="1" t="s">
        <v>125</v>
      </c>
      <c r="H523" s="1" t="s">
        <v>3293</v>
      </c>
      <c r="I523" s="1" t="s">
        <v>3298</v>
      </c>
      <c r="J523" s="2" t="s">
        <v>3299</v>
      </c>
      <c r="K523" s="2" t="s">
        <v>3300</v>
      </c>
      <c r="L523" s="2" t="s">
        <v>3301</v>
      </c>
      <c r="M523" s="3" t="str">
        <f>VLOOKUP(G523,справочник!$B$1:$C$94,2,0)</f>
        <v>МСК+2</v>
      </c>
    </row>
    <row r="524" spans="1:13" ht="42" thickBot="1" x14ac:dyDescent="0.35">
      <c r="A524" s="1" t="s">
        <v>146</v>
      </c>
      <c r="B524" s="1">
        <v>90</v>
      </c>
      <c r="C524" s="1" t="s">
        <v>3302</v>
      </c>
      <c r="D524" s="2" t="s">
        <v>3303</v>
      </c>
      <c r="E524" s="1" t="s">
        <v>29</v>
      </c>
      <c r="F524" s="1" t="s">
        <v>21</v>
      </c>
      <c r="G524" s="1" t="s">
        <v>162</v>
      </c>
      <c r="H524" s="1" t="s">
        <v>163</v>
      </c>
      <c r="I524" s="1" t="s">
        <v>3305</v>
      </c>
      <c r="J524" s="2" t="s">
        <v>3306</v>
      </c>
      <c r="K524" s="2" t="s">
        <v>3307</v>
      </c>
      <c r="L524" s="2" t="s">
        <v>3304</v>
      </c>
      <c r="M524" s="3" t="str">
        <f>VLOOKUP(G524,справочник!$B$1:$C$94,2,0)</f>
        <v>МСК</v>
      </c>
    </row>
    <row r="525" spans="1:13" ht="42" thickBot="1" x14ac:dyDescent="0.35">
      <c r="A525" s="1" t="s">
        <v>146</v>
      </c>
      <c r="B525" s="1">
        <v>92</v>
      </c>
      <c r="C525" s="1" t="s">
        <v>3308</v>
      </c>
      <c r="D525" s="2" t="s">
        <v>3309</v>
      </c>
      <c r="E525" s="1" t="s">
        <v>29</v>
      </c>
      <c r="F525" s="1" t="s">
        <v>222</v>
      </c>
      <c r="G525" s="1" t="s">
        <v>3310</v>
      </c>
      <c r="H525" s="1" t="s">
        <v>3312</v>
      </c>
      <c r="I525" s="1" t="s">
        <v>3313</v>
      </c>
      <c r="J525" s="2" t="s">
        <v>3314</v>
      </c>
      <c r="K525" s="2" t="s">
        <v>3315</v>
      </c>
      <c r="L525" s="2" t="s">
        <v>3311</v>
      </c>
      <c r="M525" s="3" t="str">
        <f>VLOOKUP(G525,справочник!$B$1:$C$94,2,0)</f>
        <v>МСК</v>
      </c>
    </row>
    <row r="526" spans="1:13" ht="42" thickBot="1" x14ac:dyDescent="0.35">
      <c r="A526" s="1" t="s">
        <v>146</v>
      </c>
      <c r="B526" s="1">
        <v>4049</v>
      </c>
      <c r="C526" s="1" t="s">
        <v>3316</v>
      </c>
      <c r="D526" s="2" t="s">
        <v>3317</v>
      </c>
      <c r="E526" s="1" t="s">
        <v>29</v>
      </c>
      <c r="F526" s="1" t="s">
        <v>21</v>
      </c>
      <c r="G526" s="1" t="s">
        <v>1476</v>
      </c>
      <c r="H526" s="1" t="s">
        <v>3319</v>
      </c>
      <c r="I526" s="1" t="s">
        <v>3320</v>
      </c>
      <c r="J526" s="2" t="s">
        <v>3321</v>
      </c>
      <c r="K526" s="2" t="s">
        <v>3322</v>
      </c>
      <c r="L526" s="2" t="s">
        <v>3318</v>
      </c>
      <c r="M526" s="3" t="str">
        <f>VLOOKUP(G526,справочник!$B$1:$C$94,2,0)</f>
        <v>МСК</v>
      </c>
    </row>
    <row r="527" spans="1:13" ht="42" thickBot="1" x14ac:dyDescent="0.35">
      <c r="A527" s="1" t="s">
        <v>146</v>
      </c>
      <c r="B527" s="1">
        <v>1781</v>
      </c>
      <c r="C527" s="1" t="s">
        <v>3323</v>
      </c>
      <c r="D527" s="2" t="s">
        <v>3324</v>
      </c>
      <c r="E527" s="1" t="s">
        <v>20</v>
      </c>
      <c r="F527" s="1" t="s">
        <v>14</v>
      </c>
      <c r="G527" s="1" t="s">
        <v>15</v>
      </c>
      <c r="H527" s="1" t="s">
        <v>16</v>
      </c>
      <c r="I527" s="1" t="s">
        <v>3326</v>
      </c>
      <c r="J527" s="2" t="s">
        <v>3327</v>
      </c>
      <c r="K527" s="2" t="s">
        <v>3328</v>
      </c>
      <c r="L527" s="2" t="s">
        <v>3325</v>
      </c>
      <c r="M527" s="3" t="str">
        <f>VLOOKUP(G527,справочник!$B$1:$C$94,2,0)</f>
        <v>МСК</v>
      </c>
    </row>
    <row r="528" spans="1:13" ht="28.2" thickBot="1" x14ac:dyDescent="0.35">
      <c r="A528" s="1" t="s">
        <v>12</v>
      </c>
      <c r="B528" s="1">
        <v>7455</v>
      </c>
      <c r="C528" s="1" t="s">
        <v>3329</v>
      </c>
      <c r="D528" s="2" t="s">
        <v>3330</v>
      </c>
      <c r="E528" s="1" t="s">
        <v>29</v>
      </c>
      <c r="F528" s="1" t="s">
        <v>14</v>
      </c>
      <c r="G528" s="1" t="s">
        <v>15</v>
      </c>
      <c r="H528" s="1" t="s">
        <v>16</v>
      </c>
      <c r="I528" s="1" t="s">
        <v>3331</v>
      </c>
      <c r="J528" s="2" t="s">
        <v>3332</v>
      </c>
      <c r="K528" s="2" t="s">
        <v>3333</v>
      </c>
      <c r="L528" s="2" t="s">
        <v>3334</v>
      </c>
      <c r="M528" s="3" t="str">
        <f>VLOOKUP(G528,справочник!$B$1:$C$94,2,0)</f>
        <v>МСК</v>
      </c>
    </row>
    <row r="529" spans="1:13" ht="42" thickBot="1" x14ac:dyDescent="0.35">
      <c r="A529" s="1" t="s">
        <v>146</v>
      </c>
      <c r="B529" s="1">
        <v>1924</v>
      </c>
      <c r="C529" s="1" t="s">
        <v>3335</v>
      </c>
      <c r="D529" s="2" t="s">
        <v>3336</v>
      </c>
      <c r="E529" s="1" t="s">
        <v>20</v>
      </c>
      <c r="F529" s="1" t="s">
        <v>14</v>
      </c>
      <c r="G529" s="1" t="s">
        <v>15</v>
      </c>
      <c r="H529" s="1" t="s">
        <v>16</v>
      </c>
      <c r="I529" s="1" t="s">
        <v>3337</v>
      </c>
      <c r="J529" s="2" t="s">
        <v>3338</v>
      </c>
      <c r="K529" s="2" t="s">
        <v>3339</v>
      </c>
      <c r="L529" s="2" t="s">
        <v>3340</v>
      </c>
      <c r="M529" s="3" t="str">
        <f>VLOOKUP(G529,справочник!$B$1:$C$94,2,0)</f>
        <v>МСК</v>
      </c>
    </row>
    <row r="530" spans="1:13" ht="28.2" thickBot="1" x14ac:dyDescent="0.35">
      <c r="A530" s="1" t="s">
        <v>12</v>
      </c>
      <c r="B530" s="1">
        <v>7744</v>
      </c>
      <c r="C530" s="1" t="s">
        <v>3341</v>
      </c>
      <c r="D530" s="2" t="s">
        <v>3342</v>
      </c>
      <c r="E530" s="1" t="s">
        <v>29</v>
      </c>
      <c r="F530" s="1" t="s">
        <v>109</v>
      </c>
      <c r="G530" s="1" t="s">
        <v>110</v>
      </c>
      <c r="H530" s="1" t="s">
        <v>1616</v>
      </c>
      <c r="I530" s="1" t="s">
        <v>3344</v>
      </c>
      <c r="J530" s="2" t="s">
        <v>3345</v>
      </c>
      <c r="K530" s="2" t="s">
        <v>3346</v>
      </c>
      <c r="L530" s="2" t="s">
        <v>3343</v>
      </c>
      <c r="M530" s="3" t="str">
        <f>VLOOKUP(G530,справочник!$B$1:$C$94,2,0)</f>
        <v>МСК</v>
      </c>
    </row>
    <row r="531" spans="1:13" ht="83.4" thickBot="1" x14ac:dyDescent="0.35">
      <c r="A531" s="1" t="s">
        <v>12</v>
      </c>
      <c r="B531" s="1">
        <v>925</v>
      </c>
      <c r="C531" s="1" t="s">
        <v>3347</v>
      </c>
      <c r="D531" s="2" t="s">
        <v>3348</v>
      </c>
      <c r="E531" s="1" t="s">
        <v>29</v>
      </c>
      <c r="F531" s="1" t="s">
        <v>222</v>
      </c>
      <c r="G531" s="1" t="s">
        <v>740</v>
      </c>
      <c r="H531" s="1" t="s">
        <v>3349</v>
      </c>
      <c r="I531" s="1" t="s">
        <v>3350</v>
      </c>
      <c r="J531" s="2" t="s">
        <v>3351</v>
      </c>
      <c r="K531" s="2" t="s">
        <v>3352</v>
      </c>
      <c r="L531" s="2" t="s">
        <v>3353</v>
      </c>
      <c r="M531" s="3" t="str">
        <f>VLOOKUP(G531,справочник!$B$1:$C$94,2,0)</f>
        <v>МСК+1</v>
      </c>
    </row>
    <row r="532" spans="1:13" ht="28.2" thickBot="1" x14ac:dyDescent="0.35">
      <c r="A532" s="1" t="s">
        <v>12</v>
      </c>
      <c r="B532" s="1">
        <v>3978</v>
      </c>
      <c r="C532" s="1" t="s">
        <v>3354</v>
      </c>
      <c r="D532" s="2" t="s">
        <v>3355</v>
      </c>
      <c r="E532" s="1" t="s">
        <v>29</v>
      </c>
      <c r="F532" s="1" t="s">
        <v>14</v>
      </c>
      <c r="G532" s="1" t="s">
        <v>15</v>
      </c>
      <c r="H532" s="1" t="s">
        <v>3356</v>
      </c>
      <c r="I532" s="1" t="s">
        <v>3357</v>
      </c>
      <c r="J532" s="2" t="s">
        <v>3358</v>
      </c>
      <c r="K532" s="2" t="s">
        <v>3359</v>
      </c>
      <c r="L532" s="2" t="s">
        <v>3360</v>
      </c>
      <c r="M532" s="3" t="str">
        <f>VLOOKUP(G532,справочник!$B$1:$C$94,2,0)</f>
        <v>МСК</v>
      </c>
    </row>
    <row r="533" spans="1:13" ht="42" thickBot="1" x14ac:dyDescent="0.35">
      <c r="A533" s="1" t="s">
        <v>12</v>
      </c>
      <c r="B533" s="1">
        <v>483</v>
      </c>
      <c r="C533" s="1" t="s">
        <v>3361</v>
      </c>
      <c r="D533" s="2" t="s">
        <v>3362</v>
      </c>
      <c r="E533" s="1" t="s">
        <v>29</v>
      </c>
      <c r="F533" s="1" t="s">
        <v>14</v>
      </c>
      <c r="G533" s="1" t="s">
        <v>1761</v>
      </c>
      <c r="H533" s="1" t="s">
        <v>3365</v>
      </c>
      <c r="I533" s="1" t="s">
        <v>3366</v>
      </c>
      <c r="J533" s="2" t="s">
        <v>3367</v>
      </c>
      <c r="K533" s="2" t="s">
        <v>3363</v>
      </c>
      <c r="L533" s="2" t="s">
        <v>3364</v>
      </c>
      <c r="M533" s="3" t="str">
        <f>VLOOKUP(G533,справочник!$B$1:$C$94,2,0)</f>
        <v>МСК</v>
      </c>
    </row>
    <row r="534" spans="1:13" ht="28.2" thickBot="1" x14ac:dyDescent="0.35">
      <c r="A534" s="1" t="s">
        <v>12</v>
      </c>
      <c r="B534" s="1">
        <v>3161</v>
      </c>
      <c r="C534" s="1" t="s">
        <v>3368</v>
      </c>
      <c r="D534" s="2" t="s">
        <v>3369</v>
      </c>
      <c r="E534" s="1" t="s">
        <v>29</v>
      </c>
      <c r="F534" s="1" t="s">
        <v>14</v>
      </c>
      <c r="G534" s="1" t="s">
        <v>15</v>
      </c>
      <c r="H534" s="1" t="s">
        <v>16</v>
      </c>
      <c r="I534" s="1" t="s">
        <v>3370</v>
      </c>
      <c r="J534" s="2" t="s">
        <v>3371</v>
      </c>
      <c r="K534" s="2" t="s">
        <v>3372</v>
      </c>
      <c r="L534" s="2" t="s">
        <v>3373</v>
      </c>
      <c r="M534" s="3" t="str">
        <f>VLOOKUP(G534,справочник!$B$1:$C$94,2,0)</f>
        <v>МСК</v>
      </c>
    </row>
    <row r="535" spans="1:13" ht="28.2" thickBot="1" x14ac:dyDescent="0.35">
      <c r="A535" s="1" t="s">
        <v>12</v>
      </c>
      <c r="B535" s="1">
        <v>2172</v>
      </c>
      <c r="C535" s="1" t="s">
        <v>3374</v>
      </c>
      <c r="D535" s="2" t="s">
        <v>3375</v>
      </c>
      <c r="E535" s="1" t="s">
        <v>29</v>
      </c>
      <c r="F535" s="1" t="s">
        <v>14</v>
      </c>
      <c r="G535" s="1" t="s">
        <v>15</v>
      </c>
      <c r="H535" s="1" t="s">
        <v>7</v>
      </c>
      <c r="I535" s="1" t="s">
        <v>3377</v>
      </c>
      <c r="J535" s="2" t="s">
        <v>3378</v>
      </c>
      <c r="K535" s="2" t="s">
        <v>3379</v>
      </c>
      <c r="L535" s="2" t="s">
        <v>3376</v>
      </c>
      <c r="M535" s="3" t="str">
        <f>VLOOKUP(G535,справочник!$B$1:$C$94,2,0)</f>
        <v>МСК</v>
      </c>
    </row>
    <row r="536" spans="1:13" ht="42" thickBot="1" x14ac:dyDescent="0.35">
      <c r="A536" s="1" t="s">
        <v>12</v>
      </c>
      <c r="B536" s="1">
        <v>7342</v>
      </c>
      <c r="C536" s="1" t="s">
        <v>3380</v>
      </c>
      <c r="D536" s="2" t="s">
        <v>3381</v>
      </c>
      <c r="E536" s="1" t="s">
        <v>29</v>
      </c>
      <c r="F536" s="1" t="s">
        <v>14</v>
      </c>
      <c r="G536" s="1" t="s">
        <v>43</v>
      </c>
      <c r="H536" s="1" t="s">
        <v>1572</v>
      </c>
      <c r="I536" s="1" t="s">
        <v>3382</v>
      </c>
      <c r="J536" s="2" t="s">
        <v>3383</v>
      </c>
      <c r="K536" s="2" t="s">
        <v>3384</v>
      </c>
      <c r="L536" s="2" t="s">
        <v>3385</v>
      </c>
      <c r="M536" s="3" t="str">
        <f>VLOOKUP(G536,справочник!$B$1:$C$94,2,0)</f>
        <v>МСК</v>
      </c>
    </row>
    <row r="537" spans="1:13" ht="42" thickBot="1" x14ac:dyDescent="0.35">
      <c r="A537" s="1" t="s">
        <v>12</v>
      </c>
      <c r="B537" s="1">
        <v>3575</v>
      </c>
      <c r="C537" s="1" t="s">
        <v>3386</v>
      </c>
      <c r="D537" s="2" t="s">
        <v>3387</v>
      </c>
      <c r="E537" s="1" t="s">
        <v>29</v>
      </c>
      <c r="F537" s="1" t="s">
        <v>14</v>
      </c>
      <c r="G537" s="1" t="s">
        <v>1631</v>
      </c>
      <c r="H537" s="1" t="s">
        <v>3388</v>
      </c>
      <c r="I537" s="1" t="s">
        <v>3389</v>
      </c>
      <c r="J537" s="2" t="s">
        <v>3390</v>
      </c>
      <c r="K537" s="2" t="s">
        <v>3391</v>
      </c>
      <c r="L537" s="2" t="s">
        <v>3392</v>
      </c>
      <c r="M537" s="3" t="str">
        <f>VLOOKUP(G537,справочник!$B$1:$C$94,2,0)</f>
        <v>МСК</v>
      </c>
    </row>
    <row r="538" spans="1:13" ht="28.2" thickBot="1" x14ac:dyDescent="0.35">
      <c r="A538" s="1" t="s">
        <v>12</v>
      </c>
      <c r="B538" s="1">
        <v>3292</v>
      </c>
      <c r="C538" s="1" t="s">
        <v>3393</v>
      </c>
      <c r="D538" s="2" t="s">
        <v>3394</v>
      </c>
      <c r="E538" s="1" t="s">
        <v>29</v>
      </c>
      <c r="F538" s="1" t="s">
        <v>30</v>
      </c>
      <c r="G538" s="1" t="s">
        <v>31</v>
      </c>
      <c r="H538" s="1" t="s">
        <v>32</v>
      </c>
      <c r="I538" s="1" t="s">
        <v>3395</v>
      </c>
      <c r="J538" s="2" t="s">
        <v>3396</v>
      </c>
      <c r="K538" s="2" t="s">
        <v>3397</v>
      </c>
      <c r="L538" s="2" t="s">
        <v>3398</v>
      </c>
      <c r="M538" s="3" t="str">
        <f>VLOOKUP(G538,справочник!$B$1:$C$94,2,0)</f>
        <v>МСК</v>
      </c>
    </row>
    <row r="539" spans="1:13" ht="28.2" thickBot="1" x14ac:dyDescent="0.35">
      <c r="A539" s="1" t="s">
        <v>12</v>
      </c>
      <c r="B539" s="1">
        <v>942</v>
      </c>
      <c r="C539" s="1" t="s">
        <v>3399</v>
      </c>
      <c r="D539" s="2" t="s">
        <v>3400</v>
      </c>
      <c r="E539" s="1" t="s">
        <v>29</v>
      </c>
      <c r="F539" s="1" t="s">
        <v>21</v>
      </c>
      <c r="G539" s="1" t="s">
        <v>199</v>
      </c>
      <c r="H539" s="1" t="s">
        <v>3401</v>
      </c>
      <c r="I539" s="1" t="s">
        <v>3402</v>
      </c>
      <c r="J539" s="2" t="s">
        <v>3403</v>
      </c>
      <c r="K539" s="2" t="s">
        <v>3404</v>
      </c>
      <c r="L539" s="2" t="s">
        <v>3405</v>
      </c>
      <c r="M539" s="3" t="str">
        <f>VLOOKUP(G539,справочник!$B$1:$C$94,2,0)</f>
        <v>МСК</v>
      </c>
    </row>
    <row r="540" spans="1:13" ht="42" thickBot="1" x14ac:dyDescent="0.35">
      <c r="A540" s="1" t="s">
        <v>12</v>
      </c>
      <c r="B540" s="1">
        <v>945</v>
      </c>
      <c r="C540" s="1" t="s">
        <v>3406</v>
      </c>
      <c r="D540" s="2" t="s">
        <v>3407</v>
      </c>
      <c r="E540" s="1" t="s">
        <v>29</v>
      </c>
      <c r="F540" s="1" t="s">
        <v>47</v>
      </c>
      <c r="G540" s="1" t="s">
        <v>125</v>
      </c>
      <c r="H540" s="1" t="s">
        <v>126</v>
      </c>
      <c r="I540" s="1" t="s">
        <v>3408</v>
      </c>
      <c r="J540" s="2" t="s">
        <v>3409</v>
      </c>
      <c r="K540" s="2" t="s">
        <v>3410</v>
      </c>
      <c r="L540" s="2" t="s">
        <v>3411</v>
      </c>
      <c r="M540" s="3" t="str">
        <f>VLOOKUP(G540,справочник!$B$1:$C$94,2,0)</f>
        <v>МСК+2</v>
      </c>
    </row>
    <row r="541" spans="1:13" ht="28.2" thickBot="1" x14ac:dyDescent="0.35">
      <c r="A541" s="1" t="s">
        <v>12</v>
      </c>
      <c r="B541" s="1">
        <v>7462</v>
      </c>
      <c r="C541" s="1" t="s">
        <v>3412</v>
      </c>
      <c r="D541" s="2" t="s">
        <v>3413</v>
      </c>
      <c r="E541" s="1" t="s">
        <v>29</v>
      </c>
      <c r="F541" s="1" t="s">
        <v>109</v>
      </c>
      <c r="G541" s="1" t="s">
        <v>1352</v>
      </c>
      <c r="H541" s="1" t="s">
        <v>1353</v>
      </c>
      <c r="I541" s="1" t="s">
        <v>3414</v>
      </c>
      <c r="J541" s="2" t="s">
        <v>922</v>
      </c>
      <c r="K541" s="2" t="s">
        <v>3415</v>
      </c>
      <c r="L541" s="2" t="s">
        <v>3416</v>
      </c>
      <c r="M541" s="3" t="str">
        <f>VLOOKUP(G541,справочник!$B$1:$C$94,2,0)</f>
        <v>МСК</v>
      </c>
    </row>
    <row r="542" spans="1:13" ht="42" thickBot="1" x14ac:dyDescent="0.35">
      <c r="A542" s="1" t="s">
        <v>12</v>
      </c>
      <c r="B542" s="1">
        <v>1425</v>
      </c>
      <c r="C542" s="1" t="s">
        <v>3417</v>
      </c>
      <c r="D542" s="2" t="s">
        <v>3418</v>
      </c>
      <c r="E542" s="1" t="s">
        <v>29</v>
      </c>
      <c r="F542" s="1" t="s">
        <v>14</v>
      </c>
      <c r="G542" s="1" t="s">
        <v>765</v>
      </c>
      <c r="H542" s="1" t="s">
        <v>766</v>
      </c>
      <c r="I542" s="1" t="s">
        <v>3419</v>
      </c>
      <c r="J542" s="2" t="s">
        <v>3143</v>
      </c>
      <c r="K542" s="2" t="s">
        <v>3420</v>
      </c>
      <c r="L542" s="2" t="s">
        <v>3421</v>
      </c>
      <c r="M542" s="3" t="str">
        <f>VLOOKUP(G542,справочник!$B$1:$C$94,2,0)</f>
        <v>МСК</v>
      </c>
    </row>
    <row r="543" spans="1:13" ht="28.2" thickBot="1" x14ac:dyDescent="0.35">
      <c r="A543" s="1" t="s">
        <v>12</v>
      </c>
      <c r="B543" s="1">
        <v>2880</v>
      </c>
      <c r="C543" s="1" t="s">
        <v>3422</v>
      </c>
      <c r="D543" s="2" t="s">
        <v>3423</v>
      </c>
      <c r="E543" s="1" t="s">
        <v>29</v>
      </c>
      <c r="F543" s="1" t="s">
        <v>14</v>
      </c>
      <c r="G543" s="1" t="s">
        <v>15</v>
      </c>
      <c r="H543" s="1" t="s">
        <v>16</v>
      </c>
      <c r="I543" s="1" t="s">
        <v>3424</v>
      </c>
      <c r="J543" s="2" t="s">
        <v>3358</v>
      </c>
      <c r="K543" s="2" t="s">
        <v>3425</v>
      </c>
      <c r="L543" s="2" t="s">
        <v>3426</v>
      </c>
      <c r="M543" s="3" t="str">
        <f>VLOOKUP(G543,справочник!$B$1:$C$94,2,0)</f>
        <v>МСК</v>
      </c>
    </row>
    <row r="544" spans="1:13" ht="28.2" thickBot="1" x14ac:dyDescent="0.35">
      <c r="A544" s="1" t="s">
        <v>12</v>
      </c>
      <c r="B544" s="1">
        <v>7647</v>
      </c>
      <c r="C544" s="1" t="s">
        <v>3427</v>
      </c>
      <c r="D544" s="2" t="s">
        <v>3428</v>
      </c>
      <c r="E544" s="1" t="s">
        <v>29</v>
      </c>
      <c r="F544" s="1" t="s">
        <v>14</v>
      </c>
      <c r="G544" s="1" t="s">
        <v>43</v>
      </c>
      <c r="H544" s="1" t="s">
        <v>3430</v>
      </c>
      <c r="I544" s="1" t="s">
        <v>3431</v>
      </c>
      <c r="J544" s="2" t="s">
        <v>394</v>
      </c>
      <c r="K544" s="2" t="s">
        <v>3432</v>
      </c>
      <c r="L544" s="2" t="s">
        <v>3429</v>
      </c>
      <c r="M544" s="3" t="str">
        <f>VLOOKUP(G544,справочник!$B$1:$C$94,2,0)</f>
        <v>МСК</v>
      </c>
    </row>
    <row r="545" spans="1:13" ht="42" thickBot="1" x14ac:dyDescent="0.35">
      <c r="A545" s="1" t="s">
        <v>12</v>
      </c>
      <c r="B545" s="1">
        <v>7328</v>
      </c>
      <c r="C545" s="1" t="s">
        <v>3433</v>
      </c>
      <c r="D545" s="2" t="s">
        <v>3434</v>
      </c>
      <c r="E545" s="1" t="s">
        <v>29</v>
      </c>
      <c r="F545" s="1" t="s">
        <v>14</v>
      </c>
      <c r="G545" s="1" t="s">
        <v>15</v>
      </c>
      <c r="H545" s="1" t="s">
        <v>16</v>
      </c>
      <c r="I545" s="1" t="s">
        <v>3436</v>
      </c>
      <c r="J545" s="2" t="s">
        <v>3437</v>
      </c>
      <c r="K545" s="2" t="s">
        <v>3438</v>
      </c>
      <c r="L545" s="2" t="s">
        <v>3435</v>
      </c>
      <c r="M545" s="3" t="str">
        <f>VLOOKUP(G545,справочник!$B$1:$C$94,2,0)</f>
        <v>МСК</v>
      </c>
    </row>
    <row r="546" spans="1:13" ht="42" thickBot="1" x14ac:dyDescent="0.35">
      <c r="A546" s="1" t="s">
        <v>12</v>
      </c>
      <c r="B546" s="1">
        <v>2866</v>
      </c>
      <c r="C546" s="1" t="s">
        <v>3439</v>
      </c>
      <c r="D546" s="2" t="s">
        <v>3440</v>
      </c>
      <c r="E546" s="1" t="s">
        <v>29</v>
      </c>
      <c r="F546" s="1" t="s">
        <v>14</v>
      </c>
      <c r="G546" s="1" t="s">
        <v>15</v>
      </c>
      <c r="H546" s="1" t="s">
        <v>16</v>
      </c>
      <c r="I546" s="1" t="s">
        <v>3441</v>
      </c>
      <c r="J546" s="2" t="s">
        <v>3442</v>
      </c>
      <c r="K546" s="2" t="s">
        <v>3443</v>
      </c>
      <c r="L546" s="2" t="s">
        <v>3444</v>
      </c>
      <c r="M546" s="3" t="str">
        <f>VLOOKUP(G546,справочник!$B$1:$C$94,2,0)</f>
        <v>МСК</v>
      </c>
    </row>
    <row r="547" spans="1:13" ht="42" thickBot="1" x14ac:dyDescent="0.35">
      <c r="A547" s="1" t="s">
        <v>12</v>
      </c>
      <c r="B547" s="1">
        <v>1413</v>
      </c>
      <c r="C547" s="1" t="s">
        <v>3445</v>
      </c>
      <c r="D547" s="2" t="s">
        <v>3446</v>
      </c>
      <c r="E547" s="1" t="s">
        <v>29</v>
      </c>
      <c r="F547" s="1" t="s">
        <v>222</v>
      </c>
      <c r="G547" s="1" t="s">
        <v>3310</v>
      </c>
      <c r="H547" s="1" t="s">
        <v>3312</v>
      </c>
      <c r="I547" s="1" t="s">
        <v>3448</v>
      </c>
      <c r="J547" s="2" t="s">
        <v>3449</v>
      </c>
      <c r="K547" s="2" t="s">
        <v>3450</v>
      </c>
      <c r="L547" s="2" t="s">
        <v>3447</v>
      </c>
      <c r="M547" s="3" t="str">
        <f>VLOOKUP(G547,справочник!$B$1:$C$94,2,0)</f>
        <v>МСК</v>
      </c>
    </row>
    <row r="548" spans="1:13" ht="42" thickBot="1" x14ac:dyDescent="0.35">
      <c r="A548" s="1" t="s">
        <v>146</v>
      </c>
      <c r="B548" s="1">
        <v>4077</v>
      </c>
      <c r="C548" s="1" t="s">
        <v>3451</v>
      </c>
      <c r="D548" s="2" t="s">
        <v>3452</v>
      </c>
      <c r="E548" s="1" t="s">
        <v>29</v>
      </c>
      <c r="F548" s="1" t="s">
        <v>21</v>
      </c>
      <c r="G548" s="1" t="s">
        <v>171</v>
      </c>
      <c r="H548" s="1" t="s">
        <v>3453</v>
      </c>
      <c r="I548" s="1" t="s">
        <v>3454</v>
      </c>
      <c r="J548" s="2" t="s">
        <v>3455</v>
      </c>
      <c r="K548" s="2" t="s">
        <v>3456</v>
      </c>
      <c r="L548" s="2" t="s">
        <v>3457</v>
      </c>
      <c r="M548" s="3" t="str">
        <f>VLOOKUP(G548,справочник!$B$1:$C$94,2,0)</f>
        <v>МСК</v>
      </c>
    </row>
    <row r="549" spans="1:13" ht="83.4" thickBot="1" x14ac:dyDescent="0.35">
      <c r="A549" s="1" t="s">
        <v>146</v>
      </c>
      <c r="B549" s="1">
        <v>100</v>
      </c>
      <c r="C549" s="1" t="s">
        <v>3458</v>
      </c>
      <c r="D549" s="2" t="s">
        <v>3459</v>
      </c>
      <c r="E549" s="1" t="s">
        <v>29</v>
      </c>
      <c r="F549" s="1" t="s">
        <v>14</v>
      </c>
      <c r="G549" s="1" t="s">
        <v>15</v>
      </c>
      <c r="H549" s="1" t="s">
        <v>16</v>
      </c>
      <c r="I549" s="1" t="s">
        <v>3460</v>
      </c>
      <c r="J549" s="2" t="s">
        <v>3461</v>
      </c>
      <c r="K549" s="2" t="s">
        <v>3462</v>
      </c>
      <c r="L549" s="2" t="s">
        <v>3463</v>
      </c>
      <c r="M549" s="3" t="str">
        <f>VLOOKUP(G549,справочник!$B$1:$C$94,2,0)</f>
        <v>МСК</v>
      </c>
    </row>
    <row r="550" spans="1:13" ht="28.2" thickBot="1" x14ac:dyDescent="0.35">
      <c r="A550" s="1" t="s">
        <v>12</v>
      </c>
      <c r="B550" s="1">
        <v>3351</v>
      </c>
      <c r="C550" s="1" t="s">
        <v>3464</v>
      </c>
      <c r="D550" s="2" t="s">
        <v>3465</v>
      </c>
      <c r="E550" s="1" t="s">
        <v>29</v>
      </c>
      <c r="F550" s="1" t="s">
        <v>47</v>
      </c>
      <c r="G550" s="1" t="s">
        <v>48</v>
      </c>
      <c r="H550" s="1" t="s">
        <v>49</v>
      </c>
      <c r="I550" s="1" t="s">
        <v>3466</v>
      </c>
      <c r="J550" s="2" t="s">
        <v>3467</v>
      </c>
      <c r="K550" s="2" t="s">
        <v>3468</v>
      </c>
      <c r="L550" s="2" t="s">
        <v>3469</v>
      </c>
      <c r="M550" s="3" t="str">
        <f>VLOOKUP(G550,справочник!$B$1:$C$94,2,0)</f>
        <v>МСК+2</v>
      </c>
    </row>
    <row r="551" spans="1:13" ht="42" thickBot="1" x14ac:dyDescent="0.35">
      <c r="A551" s="1" t="s">
        <v>146</v>
      </c>
      <c r="B551" s="1">
        <v>728</v>
      </c>
      <c r="C551" s="1" t="s">
        <v>3470</v>
      </c>
      <c r="D551" s="2" t="s">
        <v>3471</v>
      </c>
      <c r="E551" s="1" t="s">
        <v>29</v>
      </c>
      <c r="F551" s="1" t="s">
        <v>14</v>
      </c>
      <c r="G551" s="1" t="s">
        <v>960</v>
      </c>
      <c r="H551" s="1" t="s">
        <v>3473</v>
      </c>
      <c r="I551" s="1" t="s">
        <v>3474</v>
      </c>
      <c r="J551" s="2" t="s">
        <v>3475</v>
      </c>
      <c r="K551" s="2" t="s">
        <v>3476</v>
      </c>
      <c r="L551" s="2" t="s">
        <v>3472</v>
      </c>
      <c r="M551" s="3" t="str">
        <f>VLOOKUP(G551,справочник!$B$1:$C$94,2,0)</f>
        <v>МСК</v>
      </c>
    </row>
    <row r="552" spans="1:13" ht="42" thickBot="1" x14ac:dyDescent="0.35">
      <c r="A552" s="1" t="s">
        <v>168</v>
      </c>
      <c r="B552" s="1">
        <v>93</v>
      </c>
      <c r="C552" s="1" t="s">
        <v>3477</v>
      </c>
      <c r="D552" s="2" t="s">
        <v>3478</v>
      </c>
      <c r="E552" s="1" t="s">
        <v>29</v>
      </c>
      <c r="F552" s="1" t="s">
        <v>222</v>
      </c>
      <c r="G552" s="1" t="s">
        <v>3479</v>
      </c>
      <c r="H552" s="1" t="s">
        <v>3482</v>
      </c>
      <c r="I552" s="1" t="s">
        <v>3483</v>
      </c>
      <c r="J552" s="2" t="s">
        <v>3484</v>
      </c>
      <c r="K552" s="2" t="s">
        <v>3480</v>
      </c>
      <c r="L552" s="2" t="s">
        <v>3481</v>
      </c>
      <c r="M552" s="3" t="str">
        <f>VLOOKUP(G552,справочник!$B$1:$C$94,2,0)</f>
        <v>МСК</v>
      </c>
    </row>
    <row r="553" spans="1:13" ht="42" thickBot="1" x14ac:dyDescent="0.35">
      <c r="A553" s="1" t="s">
        <v>146</v>
      </c>
      <c r="B553" s="1">
        <v>1933</v>
      </c>
      <c r="C553" s="1" t="s">
        <v>3485</v>
      </c>
      <c r="D553" s="2" t="s">
        <v>3486</v>
      </c>
      <c r="E553" s="1" t="s">
        <v>20</v>
      </c>
      <c r="F553" s="1" t="s">
        <v>21</v>
      </c>
      <c r="G553" s="1" t="s">
        <v>253</v>
      </c>
      <c r="H553" s="1" t="s">
        <v>254</v>
      </c>
      <c r="I553" s="1" t="s">
        <v>3487</v>
      </c>
      <c r="J553" s="2" t="s">
        <v>381</v>
      </c>
      <c r="K553" s="2" t="s">
        <v>3488</v>
      </c>
      <c r="L553" s="2" t="s">
        <v>3489</v>
      </c>
      <c r="M553" s="3" t="str">
        <f>VLOOKUP(G553,справочник!$B$1:$C$94,2,0)</f>
        <v>МСК</v>
      </c>
    </row>
    <row r="554" spans="1:13" ht="69.599999999999994" thickBot="1" x14ac:dyDescent="0.35">
      <c r="A554" s="1" t="s">
        <v>724</v>
      </c>
      <c r="B554" s="1">
        <v>1458</v>
      </c>
      <c r="C554" s="1" t="s">
        <v>3490</v>
      </c>
      <c r="D554" s="2" t="s">
        <v>3491</v>
      </c>
      <c r="E554" s="1" t="s">
        <v>29</v>
      </c>
      <c r="F554" s="1" t="s">
        <v>114</v>
      </c>
      <c r="G554" s="1" t="s">
        <v>121</v>
      </c>
      <c r="H554" s="1" t="s">
        <v>122</v>
      </c>
      <c r="I554" s="1" t="s">
        <v>3492</v>
      </c>
      <c r="J554" s="2" t="s">
        <v>3493</v>
      </c>
      <c r="K554" s="2" t="s">
        <v>3494</v>
      </c>
      <c r="L554" s="2" t="s">
        <v>3495</v>
      </c>
      <c r="M554" s="3" t="str">
        <f>VLOOKUP(G554,справочник!$B$1:$C$94,2,0)</f>
        <v>МСК+7</v>
      </c>
    </row>
    <row r="555" spans="1:13" ht="28.2" thickBot="1" x14ac:dyDescent="0.35">
      <c r="A555" s="1" t="s">
        <v>12</v>
      </c>
      <c r="B555" s="1">
        <v>3656</v>
      </c>
      <c r="C555" s="1" t="s">
        <v>3496</v>
      </c>
      <c r="D555" s="2" t="s">
        <v>3497</v>
      </c>
      <c r="E555" s="1" t="s">
        <v>29</v>
      </c>
      <c r="F555" s="1" t="s">
        <v>14</v>
      </c>
      <c r="G555" s="1" t="s">
        <v>15</v>
      </c>
      <c r="H555" s="1" t="s">
        <v>16</v>
      </c>
      <c r="I555" s="1" t="s">
        <v>3498</v>
      </c>
      <c r="J555" s="2" t="s">
        <v>3499</v>
      </c>
      <c r="K555" s="2" t="s">
        <v>3500</v>
      </c>
      <c r="L555" s="2" t="s">
        <v>3501</v>
      </c>
      <c r="M555" s="3" t="str">
        <f>VLOOKUP(G555,справочник!$B$1:$C$94,2,0)</f>
        <v>МСК</v>
      </c>
    </row>
    <row r="556" spans="1:13" ht="28.2" thickBot="1" x14ac:dyDescent="0.35">
      <c r="A556" s="1" t="s">
        <v>54</v>
      </c>
      <c r="B556" s="1">
        <v>7748</v>
      </c>
      <c r="C556" s="1" t="s">
        <v>3502</v>
      </c>
      <c r="D556" s="2" t="s">
        <v>3503</v>
      </c>
      <c r="E556" s="1" t="s">
        <v>104</v>
      </c>
      <c r="F556" s="1" t="s">
        <v>14</v>
      </c>
      <c r="G556" s="1" t="s">
        <v>15</v>
      </c>
      <c r="H556" s="1" t="s">
        <v>3504</v>
      </c>
      <c r="I556" s="1" t="s">
        <v>3505</v>
      </c>
      <c r="J556" s="2" t="s">
        <v>3506</v>
      </c>
      <c r="K556" s="2" t="s">
        <v>3507</v>
      </c>
      <c r="L556" s="2" t="s">
        <v>3508</v>
      </c>
      <c r="M556" s="3" t="str">
        <f>VLOOKUP(G556,справочник!$B$1:$C$94,2,0)</f>
        <v>МСК</v>
      </c>
    </row>
    <row r="557" spans="1:13" ht="42" thickBot="1" x14ac:dyDescent="0.35">
      <c r="A557" s="1" t="s">
        <v>261</v>
      </c>
      <c r="B557" s="1">
        <v>948</v>
      </c>
      <c r="C557" s="1" t="s">
        <v>3509</v>
      </c>
      <c r="D557" s="2" t="s">
        <v>3510</v>
      </c>
      <c r="E557" s="1" t="s">
        <v>29</v>
      </c>
      <c r="F557" s="1" t="s">
        <v>14</v>
      </c>
      <c r="G557" s="1" t="s">
        <v>15</v>
      </c>
      <c r="H557" s="1" t="s">
        <v>16</v>
      </c>
      <c r="I557" s="1" t="s">
        <v>3512</v>
      </c>
      <c r="J557" s="2" t="s">
        <v>467</v>
      </c>
      <c r="K557" s="2" t="s">
        <v>3513</v>
      </c>
      <c r="L557" s="2" t="s">
        <v>3511</v>
      </c>
      <c r="M557" s="3" t="str">
        <f>VLOOKUP(G557,справочник!$B$1:$C$94,2,0)</f>
        <v>МСК</v>
      </c>
    </row>
    <row r="558" spans="1:13" ht="42" thickBot="1" x14ac:dyDescent="0.35">
      <c r="A558" s="1" t="s">
        <v>621</v>
      </c>
      <c r="B558" s="1">
        <v>2745</v>
      </c>
      <c r="C558" s="1" t="s">
        <v>3514</v>
      </c>
      <c r="D558" s="2" t="s">
        <v>3515</v>
      </c>
      <c r="E558" s="1" t="s">
        <v>29</v>
      </c>
      <c r="F558" s="1" t="s">
        <v>14</v>
      </c>
      <c r="G558" s="1" t="s">
        <v>43</v>
      </c>
      <c r="H558" s="1" t="s">
        <v>3517</v>
      </c>
      <c r="I558" s="1" t="s">
        <v>3518</v>
      </c>
      <c r="J558" s="2" t="s">
        <v>3519</v>
      </c>
      <c r="K558" s="2" t="s">
        <v>3520</v>
      </c>
      <c r="L558" s="2" t="s">
        <v>3516</v>
      </c>
      <c r="M558" s="3" t="str">
        <f>VLOOKUP(G558,справочник!$B$1:$C$94,2,0)</f>
        <v>МСК</v>
      </c>
    </row>
    <row r="559" spans="1:13" ht="28.2" thickBot="1" x14ac:dyDescent="0.35">
      <c r="A559" s="1" t="s">
        <v>177</v>
      </c>
      <c r="B559" s="1">
        <v>765</v>
      </c>
      <c r="C559" s="1" t="s">
        <v>3521</v>
      </c>
      <c r="D559" s="2" t="s">
        <v>3522</v>
      </c>
      <c r="E559" s="1" t="s">
        <v>29</v>
      </c>
      <c r="F559" s="1" t="s">
        <v>14</v>
      </c>
      <c r="G559" s="1" t="s">
        <v>15</v>
      </c>
      <c r="H559" s="1" t="s">
        <v>16</v>
      </c>
      <c r="I559" s="1" t="s">
        <v>3523</v>
      </c>
      <c r="J559" s="2" t="s">
        <v>3524</v>
      </c>
      <c r="K559" s="2" t="s">
        <v>3525</v>
      </c>
      <c r="L559" s="2" t="s">
        <v>3526</v>
      </c>
      <c r="M559" s="3" t="str">
        <f>VLOOKUP(G559,справочник!$B$1:$C$94,2,0)</f>
        <v>МСК</v>
      </c>
    </row>
    <row r="560" spans="1:13" ht="42" thickBot="1" x14ac:dyDescent="0.35">
      <c r="A560" s="1" t="s">
        <v>177</v>
      </c>
      <c r="B560" s="1">
        <v>750</v>
      </c>
      <c r="C560" s="1" t="s">
        <v>3527</v>
      </c>
      <c r="D560" s="2" t="s">
        <v>3528</v>
      </c>
      <c r="E560" s="1" t="s">
        <v>29</v>
      </c>
      <c r="F560" s="1" t="s">
        <v>14</v>
      </c>
      <c r="G560" s="1" t="s">
        <v>15</v>
      </c>
      <c r="H560" s="1" t="s">
        <v>16</v>
      </c>
      <c r="I560" s="1" t="s">
        <v>3530</v>
      </c>
      <c r="J560" s="2" t="s">
        <v>3531</v>
      </c>
      <c r="K560" s="2" t="s">
        <v>3532</v>
      </c>
      <c r="L560" s="2" t="s">
        <v>3529</v>
      </c>
      <c r="M560" s="3" t="str">
        <f>VLOOKUP(G560,справочник!$B$1:$C$94,2,0)</f>
        <v>МСК</v>
      </c>
    </row>
    <row r="561" spans="1:13" ht="28.2" thickBot="1" x14ac:dyDescent="0.35">
      <c r="A561" s="1" t="s">
        <v>12</v>
      </c>
      <c r="B561" s="1">
        <v>1255</v>
      </c>
      <c r="C561" s="1" t="s">
        <v>3533</v>
      </c>
      <c r="D561" s="2" t="s">
        <v>3534</v>
      </c>
      <c r="E561" s="1" t="s">
        <v>29</v>
      </c>
      <c r="F561" s="1" t="s">
        <v>14</v>
      </c>
      <c r="G561" s="1" t="s">
        <v>15</v>
      </c>
      <c r="H561" s="1" t="s">
        <v>16</v>
      </c>
      <c r="I561" s="1" t="s">
        <v>3535</v>
      </c>
      <c r="J561" s="2" t="s">
        <v>2909</v>
      </c>
      <c r="K561" s="2" t="s">
        <v>3536</v>
      </c>
      <c r="L561" s="2" t="s">
        <v>3537</v>
      </c>
      <c r="M561" s="3" t="str">
        <f>VLOOKUP(G561,справочник!$B$1:$C$94,2,0)</f>
        <v>МСК</v>
      </c>
    </row>
    <row r="562" spans="1:13" ht="97.2" thickBot="1" x14ac:dyDescent="0.35">
      <c r="A562" s="1" t="s">
        <v>12</v>
      </c>
      <c r="B562" s="1">
        <v>3160</v>
      </c>
      <c r="C562" s="1" t="s">
        <v>3538</v>
      </c>
      <c r="D562" s="2" t="s">
        <v>3539</v>
      </c>
      <c r="E562" s="1" t="s">
        <v>29</v>
      </c>
      <c r="F562" s="1" t="s">
        <v>14</v>
      </c>
      <c r="G562" s="1" t="s">
        <v>15</v>
      </c>
      <c r="H562" s="1" t="s">
        <v>16</v>
      </c>
      <c r="I562" s="1" t="s">
        <v>3540</v>
      </c>
      <c r="J562" s="2" t="s">
        <v>3541</v>
      </c>
      <c r="K562" s="2" t="s">
        <v>92</v>
      </c>
      <c r="L562" s="2" t="s">
        <v>92</v>
      </c>
      <c r="M562" s="3" t="str">
        <f>VLOOKUP(G562,справочник!$B$1:$C$94,2,0)</f>
        <v>МСК</v>
      </c>
    </row>
    <row r="563" spans="1:13" ht="42" thickBot="1" x14ac:dyDescent="0.35">
      <c r="A563" s="1" t="s">
        <v>146</v>
      </c>
      <c r="B563" s="1">
        <v>97</v>
      </c>
      <c r="C563" s="1" t="s">
        <v>3542</v>
      </c>
      <c r="D563" s="2" t="s">
        <v>3543</v>
      </c>
      <c r="E563" s="1" t="s">
        <v>29</v>
      </c>
      <c r="F563" s="1" t="s">
        <v>14</v>
      </c>
      <c r="G563" s="1" t="s">
        <v>15</v>
      </c>
      <c r="H563" s="1" t="s">
        <v>16</v>
      </c>
      <c r="I563" s="1" t="s">
        <v>3544</v>
      </c>
      <c r="J563" s="2" t="s">
        <v>1470</v>
      </c>
      <c r="K563" s="2" t="s">
        <v>3545</v>
      </c>
      <c r="L563" s="2" t="s">
        <v>3546</v>
      </c>
      <c r="M563" s="3" t="str">
        <f>VLOOKUP(G563,справочник!$B$1:$C$94,2,0)</f>
        <v>МСК</v>
      </c>
    </row>
    <row r="564" spans="1:13" ht="42" thickBot="1" x14ac:dyDescent="0.35">
      <c r="A564" s="1" t="s">
        <v>146</v>
      </c>
      <c r="B564" s="1">
        <v>98</v>
      </c>
      <c r="C564" s="1" t="s">
        <v>3547</v>
      </c>
      <c r="D564" s="2" t="s">
        <v>3548</v>
      </c>
      <c r="E564" s="1" t="s">
        <v>29</v>
      </c>
      <c r="F564" s="1" t="s">
        <v>14</v>
      </c>
      <c r="G564" s="1" t="s">
        <v>15</v>
      </c>
      <c r="H564" s="1" t="s">
        <v>16</v>
      </c>
      <c r="I564" s="1" t="s">
        <v>3549</v>
      </c>
      <c r="J564" s="2" t="s">
        <v>3550</v>
      </c>
      <c r="K564" s="2" t="s">
        <v>3551</v>
      </c>
      <c r="L564" s="2" t="s">
        <v>3552</v>
      </c>
      <c r="M564" s="3" t="str">
        <f>VLOOKUP(G564,справочник!$B$1:$C$94,2,0)</f>
        <v>МСК</v>
      </c>
    </row>
    <row r="565" spans="1:13" ht="42" thickBot="1" x14ac:dyDescent="0.35">
      <c r="A565" s="1" t="s">
        <v>146</v>
      </c>
      <c r="B565" s="1">
        <v>99</v>
      </c>
      <c r="C565" s="1" t="s">
        <v>3553</v>
      </c>
      <c r="D565" s="2" t="s">
        <v>3554</v>
      </c>
      <c r="E565" s="1" t="s">
        <v>29</v>
      </c>
      <c r="F565" s="1" t="s">
        <v>14</v>
      </c>
      <c r="G565" s="1" t="s">
        <v>15</v>
      </c>
      <c r="H565" s="1" t="s">
        <v>16</v>
      </c>
      <c r="I565" s="1" t="s">
        <v>3555</v>
      </c>
      <c r="J565" s="2" t="s">
        <v>3556</v>
      </c>
      <c r="K565" s="2" t="s">
        <v>3557</v>
      </c>
      <c r="L565" s="2" t="s">
        <v>3558</v>
      </c>
      <c r="M565" s="3" t="str">
        <f>VLOOKUP(G565,справочник!$B$1:$C$94,2,0)</f>
        <v>МСК</v>
      </c>
    </row>
    <row r="566" spans="1:13" ht="207.6" thickBot="1" x14ac:dyDescent="0.35">
      <c r="A566" s="1" t="s">
        <v>54</v>
      </c>
      <c r="B566" s="1">
        <v>3242</v>
      </c>
      <c r="C566" s="1" t="s">
        <v>3559</v>
      </c>
      <c r="D566" s="2" t="s">
        <v>3560</v>
      </c>
      <c r="E566" s="1" t="s">
        <v>29</v>
      </c>
      <c r="F566" s="1" t="s">
        <v>14</v>
      </c>
      <c r="G566" s="1" t="s">
        <v>15</v>
      </c>
      <c r="H566" s="1" t="s">
        <v>16</v>
      </c>
      <c r="I566" s="1" t="s">
        <v>3561</v>
      </c>
      <c r="J566" s="2" t="s">
        <v>3562</v>
      </c>
      <c r="K566" s="2" t="s">
        <v>3563</v>
      </c>
      <c r="L566" s="2" t="s">
        <v>3564</v>
      </c>
      <c r="M566" s="3" t="str">
        <f>VLOOKUP(G566,справочник!$B$1:$C$94,2,0)</f>
        <v>МСК</v>
      </c>
    </row>
    <row r="567" spans="1:13" ht="42" thickBot="1" x14ac:dyDescent="0.35">
      <c r="A567" s="1" t="s">
        <v>54</v>
      </c>
      <c r="B567" s="1">
        <v>3164</v>
      </c>
      <c r="C567" s="1" t="s">
        <v>3565</v>
      </c>
      <c r="D567" s="2" t="s">
        <v>3566</v>
      </c>
      <c r="E567" s="1" t="s">
        <v>29</v>
      </c>
      <c r="F567" s="1" t="s">
        <v>14</v>
      </c>
      <c r="G567" s="1" t="s">
        <v>15</v>
      </c>
      <c r="H567" s="1" t="s">
        <v>16</v>
      </c>
      <c r="I567" s="1" t="s">
        <v>3567</v>
      </c>
      <c r="J567" s="2" t="s">
        <v>3568</v>
      </c>
      <c r="K567" s="2" t="s">
        <v>3569</v>
      </c>
      <c r="L567" s="2" t="s">
        <v>3570</v>
      </c>
      <c r="M567" s="3" t="str">
        <f>VLOOKUP(G567,справочник!$B$1:$C$94,2,0)</f>
        <v>МСК</v>
      </c>
    </row>
    <row r="568" spans="1:13" ht="55.8" thickBot="1" x14ac:dyDescent="0.35">
      <c r="A568" s="1" t="s">
        <v>177</v>
      </c>
      <c r="B568" s="1">
        <v>751</v>
      </c>
      <c r="C568" s="1" t="s">
        <v>3571</v>
      </c>
      <c r="D568" s="2" t="s">
        <v>3572</v>
      </c>
      <c r="E568" s="1" t="s">
        <v>29</v>
      </c>
      <c r="F568" s="1" t="s">
        <v>14</v>
      </c>
      <c r="G568" s="1" t="s">
        <v>15</v>
      </c>
      <c r="H568" s="1" t="s">
        <v>16</v>
      </c>
      <c r="I568" s="1" t="s">
        <v>3574</v>
      </c>
      <c r="J568" s="2" t="s">
        <v>3575</v>
      </c>
      <c r="K568" s="2" t="s">
        <v>3576</v>
      </c>
      <c r="L568" s="2" t="s">
        <v>3573</v>
      </c>
      <c r="M568" s="3" t="str">
        <f>VLOOKUP(G568,справочник!$B$1:$C$94,2,0)</f>
        <v>МСК</v>
      </c>
    </row>
    <row r="569" spans="1:13" ht="42" thickBot="1" x14ac:dyDescent="0.35">
      <c r="A569" s="1" t="s">
        <v>177</v>
      </c>
      <c r="B569" s="1">
        <v>721</v>
      </c>
      <c r="C569" s="1" t="s">
        <v>3577</v>
      </c>
      <c r="D569" s="2" t="s">
        <v>3578</v>
      </c>
      <c r="E569" s="1" t="s">
        <v>29</v>
      </c>
      <c r="F569" s="1" t="s">
        <v>14</v>
      </c>
      <c r="G569" s="1" t="s">
        <v>43</v>
      </c>
      <c r="H569" s="1" t="s">
        <v>3579</v>
      </c>
      <c r="I569" s="1" t="s">
        <v>3580</v>
      </c>
      <c r="J569" s="2" t="s">
        <v>3581</v>
      </c>
      <c r="K569" s="2" t="s">
        <v>3582</v>
      </c>
      <c r="L569" s="2" t="s">
        <v>3583</v>
      </c>
      <c r="M569" s="3" t="str">
        <f>VLOOKUP(G569,справочник!$B$1:$C$94,2,0)</f>
        <v>МСК</v>
      </c>
    </row>
    <row r="570" spans="1:13" ht="55.8" thickBot="1" x14ac:dyDescent="0.35">
      <c r="A570" s="1" t="s">
        <v>1473</v>
      </c>
      <c r="B570" s="1">
        <v>938</v>
      </c>
      <c r="C570" s="1" t="s">
        <v>3584</v>
      </c>
      <c r="D570" s="2" t="s">
        <v>3585</v>
      </c>
      <c r="E570" s="1" t="s">
        <v>29</v>
      </c>
      <c r="F570" s="1" t="s">
        <v>14</v>
      </c>
      <c r="G570" s="1" t="s">
        <v>15</v>
      </c>
      <c r="H570" s="1" t="s">
        <v>16</v>
      </c>
      <c r="I570" s="1" t="s">
        <v>3586</v>
      </c>
      <c r="J570" s="2" t="s">
        <v>3587</v>
      </c>
      <c r="K570" s="2" t="s">
        <v>3588</v>
      </c>
      <c r="L570" s="2" t="s">
        <v>3589</v>
      </c>
      <c r="M570" s="3" t="str">
        <f>VLOOKUP(G570,справочник!$B$1:$C$94,2,0)</f>
        <v>МСК</v>
      </c>
    </row>
    <row r="571" spans="1:13" ht="28.2" thickBot="1" x14ac:dyDescent="0.35">
      <c r="A571" s="1" t="s">
        <v>54</v>
      </c>
      <c r="B571" s="1">
        <v>3169</v>
      </c>
      <c r="C571" s="1" t="s">
        <v>3590</v>
      </c>
      <c r="D571" s="2" t="s">
        <v>3591</v>
      </c>
      <c r="E571" s="1" t="s">
        <v>29</v>
      </c>
      <c r="F571" s="1" t="s">
        <v>14</v>
      </c>
      <c r="G571" s="1" t="s">
        <v>15</v>
      </c>
      <c r="H571" s="1" t="s">
        <v>16</v>
      </c>
      <c r="I571" s="1" t="s">
        <v>3592</v>
      </c>
      <c r="J571" s="2" t="s">
        <v>3593</v>
      </c>
      <c r="K571" s="2" t="s">
        <v>3594</v>
      </c>
      <c r="L571" s="2" t="s">
        <v>3595</v>
      </c>
      <c r="M571" s="3" t="str">
        <f>VLOOKUP(G571,справочник!$B$1:$C$94,2,0)</f>
        <v>МСК</v>
      </c>
    </row>
    <row r="572" spans="1:13" ht="42" thickBot="1" x14ac:dyDescent="0.35">
      <c r="A572" s="1" t="s">
        <v>146</v>
      </c>
      <c r="B572" s="1">
        <v>102</v>
      </c>
      <c r="C572" s="1" t="s">
        <v>3596</v>
      </c>
      <c r="D572" s="2" t="s">
        <v>3597</v>
      </c>
      <c r="E572" s="1" t="s">
        <v>29</v>
      </c>
      <c r="F572" s="1" t="s">
        <v>14</v>
      </c>
      <c r="G572" s="1" t="s">
        <v>15</v>
      </c>
      <c r="H572" s="1" t="s">
        <v>16</v>
      </c>
      <c r="I572" s="1" t="s">
        <v>3599</v>
      </c>
      <c r="J572" s="2" t="s">
        <v>3600</v>
      </c>
      <c r="K572" s="2" t="s">
        <v>3598</v>
      </c>
      <c r="L572" s="2" t="s">
        <v>3601</v>
      </c>
      <c r="M572" s="3" t="str">
        <f>VLOOKUP(G572,справочник!$B$1:$C$94,2,0)</f>
        <v>МСК</v>
      </c>
    </row>
    <row r="573" spans="1:13" ht="42" thickBot="1" x14ac:dyDescent="0.35">
      <c r="A573" s="1" t="s">
        <v>168</v>
      </c>
      <c r="B573" s="1">
        <v>466</v>
      </c>
      <c r="C573" s="1" t="s">
        <v>3602</v>
      </c>
      <c r="D573" s="2" t="s">
        <v>3603</v>
      </c>
      <c r="E573" s="1" t="s">
        <v>29</v>
      </c>
      <c r="F573" s="1" t="s">
        <v>14</v>
      </c>
      <c r="G573" s="1" t="s">
        <v>15</v>
      </c>
      <c r="H573" s="1" t="s">
        <v>16</v>
      </c>
      <c r="I573" s="1" t="s">
        <v>3604</v>
      </c>
      <c r="J573" s="2" t="s">
        <v>3605</v>
      </c>
      <c r="K573" s="2" t="s">
        <v>3606</v>
      </c>
      <c r="L573" s="2" t="s">
        <v>3607</v>
      </c>
      <c r="M573" s="3" t="str">
        <f>VLOOKUP(G573,справочник!$B$1:$C$94,2,0)</f>
        <v>МСК</v>
      </c>
    </row>
    <row r="574" spans="1:13" ht="28.2" thickBot="1" x14ac:dyDescent="0.35">
      <c r="A574" s="1" t="s">
        <v>3608</v>
      </c>
      <c r="B574" s="1">
        <v>620</v>
      </c>
      <c r="C574" s="1" t="s">
        <v>3609</v>
      </c>
      <c r="D574" s="2" t="s">
        <v>3610</v>
      </c>
      <c r="E574" s="1" t="s">
        <v>29</v>
      </c>
      <c r="F574" s="1" t="s">
        <v>14</v>
      </c>
      <c r="G574" s="1" t="s">
        <v>15</v>
      </c>
      <c r="H574" s="1" t="s">
        <v>16</v>
      </c>
      <c r="I574" s="1" t="s">
        <v>3611</v>
      </c>
      <c r="J574" s="2" t="s">
        <v>107</v>
      </c>
      <c r="K574" s="2" t="s">
        <v>3612</v>
      </c>
      <c r="L574" s="2" t="s">
        <v>3613</v>
      </c>
      <c r="M574" s="3" t="str">
        <f>VLOOKUP(G574,справочник!$B$1:$C$94,2,0)</f>
        <v>МСК</v>
      </c>
    </row>
    <row r="575" spans="1:13" ht="55.8" thickBot="1" x14ac:dyDescent="0.35">
      <c r="A575" s="1" t="s">
        <v>146</v>
      </c>
      <c r="B575" s="1">
        <v>106</v>
      </c>
      <c r="C575" s="1" t="s">
        <v>3614</v>
      </c>
      <c r="D575" s="2" t="s">
        <v>3615</v>
      </c>
      <c r="E575" s="1" t="s">
        <v>29</v>
      </c>
      <c r="F575" s="1" t="s">
        <v>14</v>
      </c>
      <c r="G575" s="1" t="s">
        <v>15</v>
      </c>
      <c r="H575" s="1" t="s">
        <v>16</v>
      </c>
      <c r="I575" s="1" t="s">
        <v>3616</v>
      </c>
      <c r="J575" s="2" t="s">
        <v>3617</v>
      </c>
      <c r="K575" s="2" t="s">
        <v>3618</v>
      </c>
      <c r="L575" s="2" t="s">
        <v>3619</v>
      </c>
      <c r="M575" s="3" t="str">
        <f>VLOOKUP(G575,справочник!$B$1:$C$94,2,0)</f>
        <v>МСК</v>
      </c>
    </row>
    <row r="576" spans="1:13" ht="42" thickBot="1" x14ac:dyDescent="0.35">
      <c r="A576" s="1" t="s">
        <v>146</v>
      </c>
      <c r="B576" s="1">
        <v>107</v>
      </c>
      <c r="C576" s="1" t="s">
        <v>3620</v>
      </c>
      <c r="D576" s="2" t="s">
        <v>3621</v>
      </c>
      <c r="E576" s="1" t="s">
        <v>29</v>
      </c>
      <c r="F576" s="1" t="s">
        <v>14</v>
      </c>
      <c r="G576" s="1" t="s">
        <v>15</v>
      </c>
      <c r="H576" s="1" t="s">
        <v>16</v>
      </c>
      <c r="I576" s="1" t="s">
        <v>3622</v>
      </c>
      <c r="J576" s="2" t="s">
        <v>3623</v>
      </c>
      <c r="K576" s="2" t="s">
        <v>3624</v>
      </c>
      <c r="L576" s="2" t="s">
        <v>3625</v>
      </c>
      <c r="M576" s="3" t="str">
        <f>VLOOKUP(G576,справочник!$B$1:$C$94,2,0)</f>
        <v>МСК</v>
      </c>
    </row>
    <row r="577" spans="1:13" ht="42" thickBot="1" x14ac:dyDescent="0.35">
      <c r="A577" s="1" t="s">
        <v>146</v>
      </c>
      <c r="B577" s="1">
        <v>108</v>
      </c>
      <c r="C577" s="1" t="s">
        <v>3626</v>
      </c>
      <c r="D577" s="2" t="s">
        <v>3627</v>
      </c>
      <c r="E577" s="1" t="s">
        <v>29</v>
      </c>
      <c r="F577" s="1" t="s">
        <v>14</v>
      </c>
      <c r="G577" s="1" t="s">
        <v>15</v>
      </c>
      <c r="H577" s="1" t="s">
        <v>16</v>
      </c>
      <c r="I577" s="1" t="s">
        <v>3629</v>
      </c>
      <c r="J577" s="2" t="s">
        <v>3630</v>
      </c>
      <c r="K577" s="2" t="s">
        <v>3631</v>
      </c>
      <c r="L577" s="2" t="s">
        <v>3628</v>
      </c>
      <c r="M577" s="3" t="str">
        <f>VLOOKUP(G577,справочник!$B$1:$C$94,2,0)</f>
        <v>МСК</v>
      </c>
    </row>
    <row r="578" spans="1:13" ht="28.2" thickBot="1" x14ac:dyDescent="0.35">
      <c r="A578" s="1" t="s">
        <v>83</v>
      </c>
      <c r="B578" s="1">
        <v>3062</v>
      </c>
      <c r="C578" s="1" t="s">
        <v>3632</v>
      </c>
      <c r="D578" s="2" t="s">
        <v>3633</v>
      </c>
      <c r="E578" s="1" t="s">
        <v>29</v>
      </c>
      <c r="F578" s="1" t="s">
        <v>14</v>
      </c>
      <c r="G578" s="1" t="s">
        <v>15</v>
      </c>
      <c r="H578" s="1" t="s">
        <v>16</v>
      </c>
      <c r="I578" s="1" t="s">
        <v>3634</v>
      </c>
      <c r="J578" s="2" t="s">
        <v>1923</v>
      </c>
      <c r="K578" s="2" t="s">
        <v>3635</v>
      </c>
      <c r="L578" s="2" t="s">
        <v>3636</v>
      </c>
      <c r="M578" s="3" t="str">
        <f>VLOOKUP(G578,справочник!$B$1:$C$94,2,0)</f>
        <v>МСК</v>
      </c>
    </row>
    <row r="579" spans="1:13" ht="42" thickBot="1" x14ac:dyDescent="0.35">
      <c r="A579" s="1" t="s">
        <v>54</v>
      </c>
      <c r="B579" s="1">
        <v>3325</v>
      </c>
      <c r="C579" s="1" t="s">
        <v>3637</v>
      </c>
      <c r="D579" s="2" t="s">
        <v>3638</v>
      </c>
      <c r="E579" s="1" t="s">
        <v>29</v>
      </c>
      <c r="F579" s="1" t="s">
        <v>14</v>
      </c>
      <c r="G579" s="1" t="s">
        <v>15</v>
      </c>
      <c r="H579" s="1" t="s">
        <v>16</v>
      </c>
      <c r="I579" s="1" t="s">
        <v>3639</v>
      </c>
      <c r="J579" s="2" t="s">
        <v>3640</v>
      </c>
      <c r="K579" s="2" t="s">
        <v>3641</v>
      </c>
      <c r="L579" s="2" t="s">
        <v>3642</v>
      </c>
      <c r="M579" s="3" t="str">
        <f>VLOOKUP(G579,справочник!$B$1:$C$94,2,0)</f>
        <v>МСК</v>
      </c>
    </row>
    <row r="580" spans="1:13" ht="55.8" thickBot="1" x14ac:dyDescent="0.35">
      <c r="A580" s="1" t="s">
        <v>146</v>
      </c>
      <c r="B580" s="1">
        <v>113</v>
      </c>
      <c r="C580" s="1" t="s">
        <v>3643</v>
      </c>
      <c r="D580" s="2" t="s">
        <v>3644</v>
      </c>
      <c r="E580" s="1" t="s">
        <v>29</v>
      </c>
      <c r="F580" s="1" t="s">
        <v>14</v>
      </c>
      <c r="G580" s="1" t="s">
        <v>15</v>
      </c>
      <c r="H580" s="1" t="s">
        <v>16</v>
      </c>
      <c r="I580" s="1" t="s">
        <v>3645</v>
      </c>
      <c r="J580" s="2" t="s">
        <v>3646</v>
      </c>
      <c r="K580" s="2" t="s">
        <v>3647</v>
      </c>
      <c r="L580" s="2" t="s">
        <v>3648</v>
      </c>
      <c r="M580" s="3" t="str">
        <f>VLOOKUP(G580,справочник!$B$1:$C$94,2,0)</f>
        <v>МСК</v>
      </c>
    </row>
    <row r="581" spans="1:13" ht="42" thickBot="1" x14ac:dyDescent="0.35">
      <c r="A581" s="1" t="s">
        <v>146</v>
      </c>
      <c r="B581" s="1">
        <v>96</v>
      </c>
      <c r="C581" s="1" t="s">
        <v>3649</v>
      </c>
      <c r="D581" s="2" t="s">
        <v>3650</v>
      </c>
      <c r="E581" s="1" t="s">
        <v>29</v>
      </c>
      <c r="F581" s="1" t="s">
        <v>14</v>
      </c>
      <c r="G581" s="1" t="s">
        <v>15</v>
      </c>
      <c r="H581" s="1" t="s">
        <v>16</v>
      </c>
      <c r="I581" s="1" t="s">
        <v>3651</v>
      </c>
      <c r="J581" s="2" t="s">
        <v>3652</v>
      </c>
      <c r="K581" s="2" t="s">
        <v>3653</v>
      </c>
      <c r="L581" s="2" t="s">
        <v>3654</v>
      </c>
      <c r="M581" s="3" t="str">
        <f>VLOOKUP(G581,справочник!$B$1:$C$94,2,0)</f>
        <v>МСК</v>
      </c>
    </row>
    <row r="582" spans="1:13" ht="55.8" thickBot="1" x14ac:dyDescent="0.35">
      <c r="A582" s="1" t="s">
        <v>12</v>
      </c>
      <c r="B582" s="1">
        <v>3179</v>
      </c>
      <c r="C582" s="1" t="s">
        <v>3655</v>
      </c>
      <c r="D582" s="2" t="s">
        <v>3656</v>
      </c>
      <c r="E582" s="1" t="s">
        <v>29</v>
      </c>
      <c r="F582" s="1" t="s">
        <v>14</v>
      </c>
      <c r="G582" s="1" t="s">
        <v>15</v>
      </c>
      <c r="H582" s="1" t="s">
        <v>16</v>
      </c>
      <c r="I582" s="1" t="s">
        <v>3657</v>
      </c>
      <c r="J582" s="2" t="s">
        <v>3658</v>
      </c>
      <c r="K582" s="2" t="s">
        <v>3659</v>
      </c>
      <c r="L582" s="2" t="s">
        <v>3660</v>
      </c>
      <c r="M582" s="3" t="str">
        <f>VLOOKUP(G582,справочник!$B$1:$C$94,2,0)</f>
        <v>МСК</v>
      </c>
    </row>
    <row r="583" spans="1:13" ht="28.2" thickBot="1" x14ac:dyDescent="0.35">
      <c r="A583" s="1" t="s">
        <v>12</v>
      </c>
      <c r="B583" s="1">
        <v>1134</v>
      </c>
      <c r="C583" s="1" t="s">
        <v>3661</v>
      </c>
      <c r="D583" s="2" t="s">
        <v>3662</v>
      </c>
      <c r="E583" s="1" t="s">
        <v>29</v>
      </c>
      <c r="F583" s="1" t="s">
        <v>14</v>
      </c>
      <c r="G583" s="1" t="s">
        <v>15</v>
      </c>
      <c r="H583" s="1" t="s">
        <v>3663</v>
      </c>
      <c r="I583" s="1" t="s">
        <v>3664</v>
      </c>
      <c r="J583" s="2" t="s">
        <v>3665</v>
      </c>
      <c r="K583" s="2" t="s">
        <v>3666</v>
      </c>
      <c r="L583" s="2" t="s">
        <v>3667</v>
      </c>
      <c r="M583" s="3" t="str">
        <f>VLOOKUP(G583,справочник!$B$1:$C$94,2,0)</f>
        <v>МСК</v>
      </c>
    </row>
    <row r="584" spans="1:13" ht="42" thickBot="1" x14ac:dyDescent="0.35">
      <c r="A584" s="1" t="s">
        <v>12</v>
      </c>
      <c r="B584" s="1">
        <v>1349</v>
      </c>
      <c r="C584" s="1" t="s">
        <v>3668</v>
      </c>
      <c r="D584" s="2" t="s">
        <v>3669</v>
      </c>
      <c r="E584" s="1" t="s">
        <v>29</v>
      </c>
      <c r="F584" s="1" t="s">
        <v>14</v>
      </c>
      <c r="G584" s="1" t="s">
        <v>15</v>
      </c>
      <c r="H584" s="1" t="s">
        <v>16</v>
      </c>
      <c r="I584" s="1" t="s">
        <v>3670</v>
      </c>
      <c r="J584" s="2" t="s">
        <v>3671</v>
      </c>
      <c r="K584" s="2" t="s">
        <v>3672</v>
      </c>
      <c r="L584" s="2" t="s">
        <v>3673</v>
      </c>
      <c r="M584" s="3" t="str">
        <f>VLOOKUP(G584,справочник!$B$1:$C$94,2,0)</f>
        <v>МСК</v>
      </c>
    </row>
    <row r="585" spans="1:13" ht="28.2" thickBot="1" x14ac:dyDescent="0.35">
      <c r="A585" s="1" t="s">
        <v>12</v>
      </c>
      <c r="B585" s="1">
        <v>924</v>
      </c>
      <c r="C585" s="1" t="s">
        <v>3674</v>
      </c>
      <c r="D585" s="2" t="s">
        <v>3675</v>
      </c>
      <c r="E585" s="1" t="s">
        <v>29</v>
      </c>
      <c r="F585" s="1" t="s">
        <v>14</v>
      </c>
      <c r="G585" s="1" t="s">
        <v>15</v>
      </c>
      <c r="H585" s="1" t="s">
        <v>16</v>
      </c>
      <c r="I585" s="1" t="s">
        <v>3676</v>
      </c>
      <c r="J585" s="2" t="s">
        <v>3677</v>
      </c>
      <c r="K585" s="2" t="s">
        <v>3678</v>
      </c>
      <c r="L585" s="2" t="s">
        <v>3679</v>
      </c>
      <c r="M585" s="3" t="str">
        <f>VLOOKUP(G585,справочник!$B$1:$C$94,2,0)</f>
        <v>МСК</v>
      </c>
    </row>
    <row r="586" spans="1:13" ht="28.2" thickBot="1" x14ac:dyDescent="0.35">
      <c r="A586" s="1" t="s">
        <v>12</v>
      </c>
      <c r="B586" s="1">
        <v>951</v>
      </c>
      <c r="C586" s="1" t="s">
        <v>3680</v>
      </c>
      <c r="D586" s="2" t="s">
        <v>3681</v>
      </c>
      <c r="E586" s="1" t="s">
        <v>29</v>
      </c>
      <c r="F586" s="1" t="s">
        <v>14</v>
      </c>
      <c r="G586" s="1" t="s">
        <v>15</v>
      </c>
      <c r="H586" s="1" t="s">
        <v>16</v>
      </c>
      <c r="I586" s="1" t="s">
        <v>3682</v>
      </c>
      <c r="J586" s="2" t="s">
        <v>3683</v>
      </c>
      <c r="K586" s="2" t="s">
        <v>3684</v>
      </c>
      <c r="L586" s="2" t="s">
        <v>3685</v>
      </c>
      <c r="M586" s="3" t="str">
        <f>VLOOKUP(G586,справочник!$B$1:$C$94,2,0)</f>
        <v>МСК</v>
      </c>
    </row>
    <row r="587" spans="1:13" ht="42" thickBot="1" x14ac:dyDescent="0.35">
      <c r="A587" s="1" t="s">
        <v>12</v>
      </c>
      <c r="B587" s="1">
        <v>7506</v>
      </c>
      <c r="C587" s="1" t="s">
        <v>3686</v>
      </c>
      <c r="D587" s="2" t="s">
        <v>3687</v>
      </c>
      <c r="E587" s="1" t="s">
        <v>29</v>
      </c>
      <c r="F587" s="1" t="s">
        <v>14</v>
      </c>
      <c r="G587" s="1" t="s">
        <v>15</v>
      </c>
      <c r="H587" s="1" t="s">
        <v>16</v>
      </c>
      <c r="I587" s="1" t="s">
        <v>3689</v>
      </c>
      <c r="J587" s="2" t="s">
        <v>3690</v>
      </c>
      <c r="K587" s="2" t="s">
        <v>3691</v>
      </c>
      <c r="L587" s="2" t="s">
        <v>3688</v>
      </c>
      <c r="M587" s="3" t="str">
        <f>VLOOKUP(G587,справочник!$B$1:$C$94,2,0)</f>
        <v>МСК</v>
      </c>
    </row>
    <row r="588" spans="1:13" ht="42" thickBot="1" x14ac:dyDescent="0.35">
      <c r="A588" s="1" t="s">
        <v>12</v>
      </c>
      <c r="B588" s="1">
        <v>1078</v>
      </c>
      <c r="C588" s="1" t="s">
        <v>3692</v>
      </c>
      <c r="D588" s="2" t="s">
        <v>3693</v>
      </c>
      <c r="E588" s="1" t="s">
        <v>29</v>
      </c>
      <c r="F588" s="1" t="s">
        <v>14</v>
      </c>
      <c r="G588" s="1" t="s">
        <v>15</v>
      </c>
      <c r="H588" s="1" t="s">
        <v>16</v>
      </c>
      <c r="I588" s="1" t="s">
        <v>3694</v>
      </c>
      <c r="J588" s="2" t="s">
        <v>2657</v>
      </c>
      <c r="K588" s="2" t="s">
        <v>3695</v>
      </c>
      <c r="L588" s="2" t="s">
        <v>3696</v>
      </c>
      <c r="M588" s="3" t="str">
        <f>VLOOKUP(G588,справочник!$B$1:$C$94,2,0)</f>
        <v>МСК</v>
      </c>
    </row>
    <row r="589" spans="1:13" ht="42" thickBot="1" x14ac:dyDescent="0.35">
      <c r="A589" s="1" t="s">
        <v>12</v>
      </c>
      <c r="B589" s="1">
        <v>3985</v>
      </c>
      <c r="C589" s="1" t="s">
        <v>3697</v>
      </c>
      <c r="D589" s="2" t="s">
        <v>3698</v>
      </c>
      <c r="E589" s="1" t="s">
        <v>29</v>
      </c>
      <c r="F589" s="1" t="s">
        <v>14</v>
      </c>
      <c r="G589" s="1" t="s">
        <v>15</v>
      </c>
      <c r="H589" s="1" t="s">
        <v>16</v>
      </c>
      <c r="I589" s="1" t="s">
        <v>3699</v>
      </c>
      <c r="J589" s="2" t="s">
        <v>3700</v>
      </c>
      <c r="K589" s="2" t="s">
        <v>3701</v>
      </c>
      <c r="L589" s="2" t="s">
        <v>3702</v>
      </c>
      <c r="M589" s="3" t="str">
        <f>VLOOKUP(G589,справочник!$B$1:$C$94,2,0)</f>
        <v>МСК</v>
      </c>
    </row>
    <row r="590" spans="1:13" ht="28.2" thickBot="1" x14ac:dyDescent="0.35">
      <c r="A590" s="1" t="s">
        <v>12</v>
      </c>
      <c r="B590" s="1">
        <v>941</v>
      </c>
      <c r="C590" s="1" t="s">
        <v>3703</v>
      </c>
      <c r="D590" s="2" t="s">
        <v>3704</v>
      </c>
      <c r="E590" s="1" t="s">
        <v>29</v>
      </c>
      <c r="F590" s="1" t="s">
        <v>14</v>
      </c>
      <c r="G590" s="1" t="s">
        <v>15</v>
      </c>
      <c r="H590" s="1" t="s">
        <v>16</v>
      </c>
      <c r="I590" s="1" t="s">
        <v>3705</v>
      </c>
      <c r="J590" s="2" t="s">
        <v>394</v>
      </c>
      <c r="K590" s="2" t="s">
        <v>3432</v>
      </c>
      <c r="L590" s="2" t="s">
        <v>3429</v>
      </c>
      <c r="M590" s="3" t="str">
        <f>VLOOKUP(G590,справочник!$B$1:$C$94,2,0)</f>
        <v>МСК</v>
      </c>
    </row>
    <row r="591" spans="1:13" ht="42" thickBot="1" x14ac:dyDescent="0.35">
      <c r="A591" s="1" t="s">
        <v>12</v>
      </c>
      <c r="B591" s="1">
        <v>7419</v>
      </c>
      <c r="C591" s="1" t="s">
        <v>3706</v>
      </c>
      <c r="D591" s="2" t="s">
        <v>3707</v>
      </c>
      <c r="E591" s="1" t="s">
        <v>29</v>
      </c>
      <c r="F591" s="1" t="s">
        <v>14</v>
      </c>
      <c r="G591" s="1" t="s">
        <v>15</v>
      </c>
      <c r="H591" s="1" t="s">
        <v>16</v>
      </c>
      <c r="I591" s="1" t="s">
        <v>3708</v>
      </c>
      <c r="J591" s="2" t="s">
        <v>3709</v>
      </c>
      <c r="K591" s="2" t="s">
        <v>3710</v>
      </c>
      <c r="L591" s="2" t="s">
        <v>3711</v>
      </c>
      <c r="M591" s="3" t="str">
        <f>VLOOKUP(G591,справочник!$B$1:$C$94,2,0)</f>
        <v>МСК</v>
      </c>
    </row>
    <row r="592" spans="1:13" ht="55.8" thickBot="1" x14ac:dyDescent="0.35">
      <c r="A592" s="1" t="s">
        <v>54</v>
      </c>
      <c r="B592" s="1">
        <v>4102</v>
      </c>
      <c r="C592" s="1" t="s">
        <v>3712</v>
      </c>
      <c r="D592" s="2" t="s">
        <v>3713</v>
      </c>
      <c r="E592" s="1" t="s">
        <v>104</v>
      </c>
      <c r="F592" s="1" t="s">
        <v>14</v>
      </c>
      <c r="G592" s="1" t="s">
        <v>15</v>
      </c>
      <c r="H592" s="1" t="s">
        <v>16</v>
      </c>
      <c r="I592" s="1" t="s">
        <v>3714</v>
      </c>
      <c r="J592" s="2" t="s">
        <v>3715</v>
      </c>
      <c r="K592" s="2" t="s">
        <v>3716</v>
      </c>
      <c r="L592" s="2" t="s">
        <v>3717</v>
      </c>
      <c r="M592" s="3" t="str">
        <f>VLOOKUP(G592,справочник!$B$1:$C$94,2,0)</f>
        <v>МСК</v>
      </c>
    </row>
    <row r="593" spans="1:13" ht="42" thickBot="1" x14ac:dyDescent="0.35">
      <c r="A593" s="1" t="s">
        <v>12</v>
      </c>
      <c r="B593" s="1">
        <v>7451</v>
      </c>
      <c r="C593" s="1" t="s">
        <v>3718</v>
      </c>
      <c r="D593" s="2" t="s">
        <v>3719</v>
      </c>
      <c r="E593" s="1" t="s">
        <v>29</v>
      </c>
      <c r="F593" s="1" t="s">
        <v>14</v>
      </c>
      <c r="G593" s="1" t="s">
        <v>15</v>
      </c>
      <c r="H593" s="1" t="s">
        <v>15</v>
      </c>
      <c r="I593" s="1" t="s">
        <v>3720</v>
      </c>
      <c r="J593" s="2" t="s">
        <v>381</v>
      </c>
      <c r="K593" s="2" t="s">
        <v>3721</v>
      </c>
      <c r="L593" s="2" t="s">
        <v>3722</v>
      </c>
      <c r="M593" s="3" t="str">
        <f>VLOOKUP(G593,справочник!$B$1:$C$94,2,0)</f>
        <v>МСК</v>
      </c>
    </row>
    <row r="594" spans="1:13" ht="42" thickBot="1" x14ac:dyDescent="0.35">
      <c r="A594" s="1" t="s">
        <v>12</v>
      </c>
      <c r="B594" s="1">
        <v>1554</v>
      </c>
      <c r="C594" s="1" t="s">
        <v>3723</v>
      </c>
      <c r="D594" s="2" t="s">
        <v>3724</v>
      </c>
      <c r="E594" s="1" t="s">
        <v>29</v>
      </c>
      <c r="F594" s="1" t="s">
        <v>14</v>
      </c>
      <c r="G594" s="1" t="s">
        <v>15</v>
      </c>
      <c r="H594" s="1" t="s">
        <v>16</v>
      </c>
      <c r="I594" s="1" t="s">
        <v>3725</v>
      </c>
      <c r="J594" s="2" t="s">
        <v>3726</v>
      </c>
      <c r="K594" s="2" t="s">
        <v>3727</v>
      </c>
      <c r="L594" s="2" t="s">
        <v>3728</v>
      </c>
      <c r="M594" s="3" t="str">
        <f>VLOOKUP(G594,справочник!$B$1:$C$94,2,0)</f>
        <v>МСК</v>
      </c>
    </row>
    <row r="595" spans="1:13" ht="69.599999999999994" thickBot="1" x14ac:dyDescent="0.35">
      <c r="A595" s="1" t="s">
        <v>131</v>
      </c>
      <c r="B595" s="1">
        <v>7745</v>
      </c>
      <c r="C595" s="1" t="s">
        <v>3729</v>
      </c>
      <c r="D595" s="2" t="s">
        <v>3730</v>
      </c>
      <c r="E595" s="1" t="s">
        <v>104</v>
      </c>
      <c r="F595" s="1" t="s">
        <v>14</v>
      </c>
      <c r="G595" s="1" t="s">
        <v>15</v>
      </c>
      <c r="H595" s="1" t="s">
        <v>3731</v>
      </c>
      <c r="I595" s="1" t="s">
        <v>3732</v>
      </c>
      <c r="J595" s="2" t="s">
        <v>3733</v>
      </c>
      <c r="K595" s="2" t="s">
        <v>3734</v>
      </c>
      <c r="L595" s="2" t="s">
        <v>3735</v>
      </c>
      <c r="M595" s="3" t="str">
        <f>VLOOKUP(G595,справочник!$B$1:$C$94,2,0)</f>
        <v>МСК</v>
      </c>
    </row>
    <row r="596" spans="1:13" ht="28.2" thickBot="1" x14ac:dyDescent="0.35">
      <c r="A596" s="1" t="s">
        <v>54</v>
      </c>
      <c r="B596" s="1">
        <v>3976</v>
      </c>
      <c r="C596" s="1" t="s">
        <v>3736</v>
      </c>
      <c r="D596" s="2" t="s">
        <v>3737</v>
      </c>
      <c r="E596" s="1" t="s">
        <v>104</v>
      </c>
      <c r="F596" s="1" t="s">
        <v>14</v>
      </c>
      <c r="G596" s="1" t="s">
        <v>15</v>
      </c>
      <c r="H596" s="1" t="s">
        <v>16</v>
      </c>
      <c r="I596" s="1" t="s">
        <v>3714</v>
      </c>
      <c r="J596" s="2" t="s">
        <v>3738</v>
      </c>
      <c r="K596" s="2" t="s">
        <v>3739</v>
      </c>
      <c r="L596" s="2" t="s">
        <v>3740</v>
      </c>
      <c r="M596" s="3" t="str">
        <f>VLOOKUP(G596,справочник!$B$1:$C$94,2,0)</f>
        <v>МСК</v>
      </c>
    </row>
    <row r="597" spans="1:13" ht="42" thickBot="1" x14ac:dyDescent="0.35">
      <c r="A597" s="1" t="s">
        <v>17</v>
      </c>
      <c r="B597" s="1">
        <v>3626</v>
      </c>
      <c r="C597" s="1" t="s">
        <v>3741</v>
      </c>
      <c r="D597" s="2" t="s">
        <v>3742</v>
      </c>
      <c r="E597" s="1" t="s">
        <v>20</v>
      </c>
      <c r="F597" s="1" t="s">
        <v>14</v>
      </c>
      <c r="G597" s="1" t="s">
        <v>15</v>
      </c>
      <c r="H597" s="1" t="s">
        <v>3744</v>
      </c>
      <c r="I597" s="1" t="s">
        <v>3745</v>
      </c>
      <c r="J597" s="2" t="s">
        <v>3746</v>
      </c>
      <c r="K597" s="2" t="s">
        <v>3747</v>
      </c>
      <c r="L597" s="2" t="s">
        <v>3743</v>
      </c>
      <c r="M597" s="3" t="str">
        <f>VLOOKUP(G597,справочник!$B$1:$C$94,2,0)</f>
        <v>МСК</v>
      </c>
    </row>
    <row r="598" spans="1:13" ht="83.4" thickBot="1" x14ac:dyDescent="0.35">
      <c r="A598" s="1" t="s">
        <v>54</v>
      </c>
      <c r="B598" s="1">
        <v>3588</v>
      </c>
      <c r="C598" s="1" t="s">
        <v>3748</v>
      </c>
      <c r="D598" s="2" t="s">
        <v>3749</v>
      </c>
      <c r="E598" s="1" t="s">
        <v>20</v>
      </c>
      <c r="F598" s="1" t="s">
        <v>14</v>
      </c>
      <c r="G598" s="1" t="s">
        <v>15</v>
      </c>
      <c r="H598" s="1" t="s">
        <v>16</v>
      </c>
      <c r="I598" s="1" t="s">
        <v>3751</v>
      </c>
      <c r="J598" s="2" t="s">
        <v>3752</v>
      </c>
      <c r="K598" s="2" t="s">
        <v>3753</v>
      </c>
      <c r="L598" s="2" t="s">
        <v>3750</v>
      </c>
      <c r="M598" s="3" t="str">
        <f>VLOOKUP(G598,справочник!$B$1:$C$94,2,0)</f>
        <v>МСК</v>
      </c>
    </row>
    <row r="599" spans="1:13" ht="28.2" thickBot="1" x14ac:dyDescent="0.35">
      <c r="A599" s="1" t="s">
        <v>54</v>
      </c>
      <c r="B599" s="1">
        <v>7331</v>
      </c>
      <c r="C599" s="1" t="s">
        <v>3754</v>
      </c>
      <c r="D599" s="2" t="s">
        <v>3755</v>
      </c>
      <c r="E599" s="1" t="s">
        <v>104</v>
      </c>
      <c r="F599" s="1" t="s">
        <v>14</v>
      </c>
      <c r="G599" s="1" t="s">
        <v>15</v>
      </c>
      <c r="H599" s="1" t="s">
        <v>16</v>
      </c>
      <c r="I599" s="1" t="s">
        <v>3756</v>
      </c>
      <c r="J599" s="2" t="s">
        <v>3757</v>
      </c>
      <c r="K599" s="2" t="s">
        <v>3758</v>
      </c>
      <c r="L599" s="2" t="s">
        <v>3759</v>
      </c>
      <c r="M599" s="3" t="str">
        <f>VLOOKUP(G599,справочник!$B$1:$C$94,2,0)</f>
        <v>МСК</v>
      </c>
    </row>
    <row r="600" spans="1:13" ht="55.8" thickBot="1" x14ac:dyDescent="0.35">
      <c r="A600" s="1" t="s">
        <v>54</v>
      </c>
      <c r="B600" s="1">
        <v>3668</v>
      </c>
      <c r="C600" s="1" t="s">
        <v>3760</v>
      </c>
      <c r="D600" s="2" t="s">
        <v>3761</v>
      </c>
      <c r="E600" s="1" t="s">
        <v>104</v>
      </c>
      <c r="F600" s="1" t="s">
        <v>14</v>
      </c>
      <c r="G600" s="1" t="s">
        <v>15</v>
      </c>
      <c r="H600" s="1" t="s">
        <v>1764</v>
      </c>
      <c r="I600" s="1" t="s">
        <v>3763</v>
      </c>
      <c r="J600" s="2" t="s">
        <v>3764</v>
      </c>
      <c r="K600" s="2" t="s">
        <v>3765</v>
      </c>
      <c r="L600" s="2" t="s">
        <v>3762</v>
      </c>
      <c r="M600" s="3" t="str">
        <f>VLOOKUP(G600,справочник!$B$1:$C$94,2,0)</f>
        <v>МСК</v>
      </c>
    </row>
    <row r="601" spans="1:13" ht="42" thickBot="1" x14ac:dyDescent="0.35">
      <c r="A601" s="1" t="s">
        <v>131</v>
      </c>
      <c r="B601" s="1">
        <v>3267</v>
      </c>
      <c r="C601" s="1" t="s">
        <v>3766</v>
      </c>
      <c r="D601" s="2" t="s">
        <v>3767</v>
      </c>
      <c r="E601" s="1" t="s">
        <v>20</v>
      </c>
      <c r="F601" s="1" t="s">
        <v>14</v>
      </c>
      <c r="G601" s="1" t="s">
        <v>15</v>
      </c>
      <c r="H601" s="1" t="s">
        <v>16</v>
      </c>
      <c r="I601" s="1" t="s">
        <v>3768</v>
      </c>
      <c r="J601" s="2" t="s">
        <v>3769</v>
      </c>
      <c r="K601" s="2" t="s">
        <v>3770</v>
      </c>
      <c r="L601" s="2" t="s">
        <v>3771</v>
      </c>
      <c r="M601" s="3" t="str">
        <f>VLOOKUP(G601,справочник!$B$1:$C$94,2,0)</f>
        <v>МСК</v>
      </c>
    </row>
    <row r="602" spans="1:13" ht="55.8" thickBot="1" x14ac:dyDescent="0.35">
      <c r="A602" s="1" t="s">
        <v>168</v>
      </c>
      <c r="B602" s="1">
        <v>115</v>
      </c>
      <c r="C602" s="1" t="s">
        <v>3772</v>
      </c>
      <c r="D602" s="2" t="s">
        <v>3773</v>
      </c>
      <c r="E602" s="1" t="s">
        <v>29</v>
      </c>
      <c r="F602" s="1" t="s">
        <v>14</v>
      </c>
      <c r="G602" s="1" t="s">
        <v>15</v>
      </c>
      <c r="H602" s="1" t="s">
        <v>16</v>
      </c>
      <c r="I602" s="1" t="s">
        <v>3774</v>
      </c>
      <c r="J602" s="2" t="s">
        <v>3775</v>
      </c>
      <c r="K602" s="2" t="s">
        <v>3776</v>
      </c>
      <c r="L602" s="2" t="s">
        <v>3777</v>
      </c>
      <c r="M602" s="3" t="str">
        <f>VLOOKUP(G602,справочник!$B$1:$C$94,2,0)</f>
        <v>МСК</v>
      </c>
    </row>
    <row r="603" spans="1:13" ht="42" thickBot="1" x14ac:dyDescent="0.35">
      <c r="A603" s="1" t="s">
        <v>146</v>
      </c>
      <c r="B603" s="1">
        <v>717</v>
      </c>
      <c r="C603" s="1" t="s">
        <v>3778</v>
      </c>
      <c r="D603" s="2" t="s">
        <v>3779</v>
      </c>
      <c r="E603" s="1" t="s">
        <v>29</v>
      </c>
      <c r="F603" s="1" t="s">
        <v>14</v>
      </c>
      <c r="G603" s="1" t="s">
        <v>15</v>
      </c>
      <c r="H603" s="1" t="s">
        <v>3780</v>
      </c>
      <c r="I603" s="1" t="s">
        <v>3781</v>
      </c>
      <c r="J603" s="2" t="s">
        <v>3782</v>
      </c>
      <c r="K603" s="2" t="s">
        <v>3783</v>
      </c>
      <c r="L603" s="2" t="s">
        <v>3784</v>
      </c>
      <c r="M603" s="3" t="str">
        <f>VLOOKUP(G603,справочник!$B$1:$C$94,2,0)</f>
        <v>МСК</v>
      </c>
    </row>
    <row r="604" spans="1:13" ht="42" thickBot="1" x14ac:dyDescent="0.35">
      <c r="A604" s="1" t="s">
        <v>12</v>
      </c>
      <c r="B604" s="1">
        <v>2891</v>
      </c>
      <c r="C604" s="1" t="s">
        <v>3785</v>
      </c>
      <c r="D604" s="2" t="s">
        <v>3786</v>
      </c>
      <c r="E604" s="1" t="s">
        <v>29</v>
      </c>
      <c r="F604" s="1" t="s">
        <v>14</v>
      </c>
      <c r="G604" s="1" t="s">
        <v>15</v>
      </c>
      <c r="H604" s="1" t="s">
        <v>16</v>
      </c>
      <c r="I604" s="1" t="s">
        <v>3787</v>
      </c>
      <c r="J604" s="2" t="s">
        <v>1373</v>
      </c>
      <c r="K604" s="2" t="s">
        <v>3788</v>
      </c>
      <c r="L604" s="2" t="s">
        <v>3789</v>
      </c>
      <c r="M604" s="3" t="str">
        <f>VLOOKUP(G604,справочник!$B$1:$C$94,2,0)</f>
        <v>МСК</v>
      </c>
    </row>
    <row r="605" spans="1:13" ht="28.2" thickBot="1" x14ac:dyDescent="0.35">
      <c r="A605" s="1" t="s">
        <v>12</v>
      </c>
      <c r="B605" s="1">
        <v>3131</v>
      </c>
      <c r="C605" s="1" t="s">
        <v>3790</v>
      </c>
      <c r="D605" s="2" t="s">
        <v>3791</v>
      </c>
      <c r="E605" s="1" t="s">
        <v>29</v>
      </c>
      <c r="F605" s="1" t="s">
        <v>14</v>
      </c>
      <c r="G605" s="1" t="s">
        <v>43</v>
      </c>
      <c r="H605" s="1" t="s">
        <v>3792</v>
      </c>
      <c r="I605" s="1" t="s">
        <v>3793</v>
      </c>
      <c r="J605" s="2" t="s">
        <v>3794</v>
      </c>
      <c r="K605" s="2" t="s">
        <v>3795</v>
      </c>
      <c r="L605" s="2" t="s">
        <v>3796</v>
      </c>
      <c r="M605" s="3" t="str">
        <f>VLOOKUP(G605,справочник!$B$1:$C$94,2,0)</f>
        <v>МСК</v>
      </c>
    </row>
    <row r="606" spans="1:13" ht="28.2" thickBot="1" x14ac:dyDescent="0.35">
      <c r="A606" s="1" t="s">
        <v>12</v>
      </c>
      <c r="B606" s="1">
        <v>2875</v>
      </c>
      <c r="C606" s="1" t="s">
        <v>3797</v>
      </c>
      <c r="D606" s="2" t="s">
        <v>3798</v>
      </c>
      <c r="E606" s="1" t="s">
        <v>29</v>
      </c>
      <c r="F606" s="1" t="s">
        <v>14</v>
      </c>
      <c r="G606" s="1" t="s">
        <v>15</v>
      </c>
      <c r="H606" s="1" t="s">
        <v>16</v>
      </c>
      <c r="I606" s="1" t="s">
        <v>3800</v>
      </c>
      <c r="J606" s="2" t="s">
        <v>3801</v>
      </c>
      <c r="K606" s="2" t="s">
        <v>3802</v>
      </c>
      <c r="L606" s="2" t="s">
        <v>3799</v>
      </c>
      <c r="M606" s="3" t="str">
        <f>VLOOKUP(G606,справочник!$B$1:$C$94,2,0)</f>
        <v>МСК</v>
      </c>
    </row>
    <row r="607" spans="1:13" ht="28.2" thickBot="1" x14ac:dyDescent="0.35">
      <c r="A607" s="1" t="s">
        <v>12</v>
      </c>
      <c r="B607" s="1">
        <v>911</v>
      </c>
      <c r="C607" s="1" t="s">
        <v>3803</v>
      </c>
      <c r="D607" s="2" t="s">
        <v>3804</v>
      </c>
      <c r="E607" s="1" t="s">
        <v>29</v>
      </c>
      <c r="F607" s="1" t="s">
        <v>14</v>
      </c>
      <c r="G607" s="1" t="s">
        <v>15</v>
      </c>
      <c r="H607" s="1" t="s">
        <v>16</v>
      </c>
      <c r="I607" s="1" t="s">
        <v>3806</v>
      </c>
      <c r="J607" s="2" t="s">
        <v>3807</v>
      </c>
      <c r="K607" s="2" t="s">
        <v>3808</v>
      </c>
      <c r="L607" s="2" t="s">
        <v>3805</v>
      </c>
      <c r="M607" s="3" t="str">
        <f>VLOOKUP(G607,справочник!$B$1:$C$94,2,0)</f>
        <v>МСК</v>
      </c>
    </row>
    <row r="608" spans="1:13" ht="42" thickBot="1" x14ac:dyDescent="0.35">
      <c r="A608" s="1" t="s">
        <v>3809</v>
      </c>
      <c r="B608" s="1">
        <v>701</v>
      </c>
      <c r="C608" s="1" t="s">
        <v>3810</v>
      </c>
      <c r="D608" s="2" t="s">
        <v>3811</v>
      </c>
      <c r="E608" s="1" t="s">
        <v>29</v>
      </c>
      <c r="F608" s="1" t="s">
        <v>14</v>
      </c>
      <c r="G608" s="1" t="s">
        <v>15</v>
      </c>
      <c r="H608" s="1" t="s">
        <v>16</v>
      </c>
      <c r="I608" s="1" t="s">
        <v>3812</v>
      </c>
      <c r="J608" s="2" t="s">
        <v>3813</v>
      </c>
      <c r="K608" s="2" t="s">
        <v>3814</v>
      </c>
      <c r="L608" s="2" t="s">
        <v>3815</v>
      </c>
      <c r="M608" s="3" t="str">
        <f>VLOOKUP(G608,справочник!$B$1:$C$94,2,0)</f>
        <v>МСК</v>
      </c>
    </row>
    <row r="609" spans="1:13" ht="28.2" thickBot="1" x14ac:dyDescent="0.35">
      <c r="A609" s="1" t="s">
        <v>12</v>
      </c>
      <c r="B609" s="1">
        <v>933</v>
      </c>
      <c r="C609" s="1" t="s">
        <v>3816</v>
      </c>
      <c r="D609" s="2" t="s">
        <v>3817</v>
      </c>
      <c r="E609" s="1" t="s">
        <v>29</v>
      </c>
      <c r="F609" s="1" t="s">
        <v>14</v>
      </c>
      <c r="G609" s="1" t="s">
        <v>15</v>
      </c>
      <c r="H609" s="1" t="s">
        <v>16</v>
      </c>
      <c r="I609" s="1" t="s">
        <v>3818</v>
      </c>
      <c r="J609" s="2" t="s">
        <v>3819</v>
      </c>
      <c r="K609" s="2" t="s">
        <v>3820</v>
      </c>
      <c r="L609" s="2" t="s">
        <v>3821</v>
      </c>
      <c r="M609" s="3" t="str">
        <f>VLOOKUP(G609,справочник!$B$1:$C$94,2,0)</f>
        <v>МСК</v>
      </c>
    </row>
    <row r="610" spans="1:13" ht="28.2" thickBot="1" x14ac:dyDescent="0.35">
      <c r="A610" s="1" t="s">
        <v>12</v>
      </c>
      <c r="B610" s="1">
        <v>3240</v>
      </c>
      <c r="C610" s="1" t="s">
        <v>3822</v>
      </c>
      <c r="D610" s="2" t="s">
        <v>3823</v>
      </c>
      <c r="E610" s="1" t="s">
        <v>29</v>
      </c>
      <c r="F610" s="1" t="s">
        <v>14</v>
      </c>
      <c r="G610" s="1" t="s">
        <v>15</v>
      </c>
      <c r="H610" s="1" t="s">
        <v>92</v>
      </c>
      <c r="I610" s="1" t="s">
        <v>3824</v>
      </c>
      <c r="J610" s="2" t="s">
        <v>3499</v>
      </c>
      <c r="K610" s="2" t="s">
        <v>3825</v>
      </c>
      <c r="L610" s="2" t="s">
        <v>3826</v>
      </c>
      <c r="M610" s="3" t="str">
        <f>VLOOKUP(G610,справочник!$B$1:$C$94,2,0)</f>
        <v>МСК</v>
      </c>
    </row>
    <row r="611" spans="1:13" ht="28.2" thickBot="1" x14ac:dyDescent="0.35">
      <c r="A611" s="1" t="s">
        <v>12</v>
      </c>
      <c r="B611" s="1">
        <v>923</v>
      </c>
      <c r="C611" s="1" t="s">
        <v>3827</v>
      </c>
      <c r="D611" s="2" t="s">
        <v>3828</v>
      </c>
      <c r="E611" s="1" t="s">
        <v>29</v>
      </c>
      <c r="F611" s="1" t="s">
        <v>14</v>
      </c>
      <c r="G611" s="1" t="s">
        <v>15</v>
      </c>
      <c r="H611" s="1" t="s">
        <v>16</v>
      </c>
      <c r="I611" s="1" t="s">
        <v>3829</v>
      </c>
      <c r="J611" s="2" t="s">
        <v>3830</v>
      </c>
      <c r="K611" s="2" t="s">
        <v>3831</v>
      </c>
      <c r="L611" s="2" t="s">
        <v>3832</v>
      </c>
      <c r="M611" s="3" t="str">
        <f>VLOOKUP(G611,справочник!$B$1:$C$94,2,0)</f>
        <v>МСК</v>
      </c>
    </row>
    <row r="612" spans="1:13" ht="42" thickBot="1" x14ac:dyDescent="0.35">
      <c r="A612" s="1" t="s">
        <v>146</v>
      </c>
      <c r="B612" s="1">
        <v>116</v>
      </c>
      <c r="C612" s="1" t="s">
        <v>3833</v>
      </c>
      <c r="D612" s="2" t="s">
        <v>3834</v>
      </c>
      <c r="E612" s="1" t="s">
        <v>29</v>
      </c>
      <c r="F612" s="1" t="s">
        <v>14</v>
      </c>
      <c r="G612" s="1" t="s">
        <v>15</v>
      </c>
      <c r="H612" s="1" t="s">
        <v>16</v>
      </c>
      <c r="I612" s="1" t="s">
        <v>3835</v>
      </c>
      <c r="J612" s="2" t="s">
        <v>2909</v>
      </c>
      <c r="K612" s="2" t="s">
        <v>3836</v>
      </c>
      <c r="L612" s="2" t="s">
        <v>3837</v>
      </c>
      <c r="M612" s="3" t="str">
        <f>VLOOKUP(G612,справочник!$B$1:$C$94,2,0)</f>
        <v>МСК</v>
      </c>
    </row>
    <row r="613" spans="1:13" ht="28.2" thickBot="1" x14ac:dyDescent="0.35">
      <c r="A613" s="1" t="s">
        <v>12</v>
      </c>
      <c r="B613" s="1">
        <v>3148</v>
      </c>
      <c r="C613" s="1" t="s">
        <v>3838</v>
      </c>
      <c r="D613" s="2" t="s">
        <v>3839</v>
      </c>
      <c r="E613" s="1" t="s">
        <v>29</v>
      </c>
      <c r="F613" s="1" t="s">
        <v>14</v>
      </c>
      <c r="G613" s="1" t="s">
        <v>15</v>
      </c>
      <c r="H613" s="1" t="s">
        <v>16</v>
      </c>
      <c r="I613" s="1" t="s">
        <v>3840</v>
      </c>
      <c r="J613" s="2" t="s">
        <v>3841</v>
      </c>
      <c r="K613" s="2" t="s">
        <v>3659</v>
      </c>
      <c r="L613" s="2" t="s">
        <v>3842</v>
      </c>
      <c r="M613" s="3" t="str">
        <f>VLOOKUP(G613,справочник!$B$1:$C$94,2,0)</f>
        <v>МСК</v>
      </c>
    </row>
    <row r="614" spans="1:13" ht="42" thickBot="1" x14ac:dyDescent="0.35">
      <c r="A614" s="1" t="s">
        <v>12</v>
      </c>
      <c r="B614" s="1">
        <v>3132</v>
      </c>
      <c r="C614" s="1" t="s">
        <v>3843</v>
      </c>
      <c r="D614" s="2" t="s">
        <v>3844</v>
      </c>
      <c r="E614" s="1" t="s">
        <v>29</v>
      </c>
      <c r="F614" s="1" t="s">
        <v>14</v>
      </c>
      <c r="G614" s="1" t="s">
        <v>15</v>
      </c>
      <c r="H614" s="1" t="s">
        <v>16</v>
      </c>
      <c r="I614" s="1" t="s">
        <v>3845</v>
      </c>
      <c r="J614" s="2" t="s">
        <v>3846</v>
      </c>
      <c r="K614" s="2" t="s">
        <v>3847</v>
      </c>
      <c r="L614" s="2" t="s">
        <v>3848</v>
      </c>
      <c r="M614" s="3" t="str">
        <f>VLOOKUP(G614,справочник!$B$1:$C$94,2,0)</f>
        <v>МСК</v>
      </c>
    </row>
    <row r="615" spans="1:13" ht="28.2" thickBot="1" x14ac:dyDescent="0.35">
      <c r="A615" s="1" t="s">
        <v>12</v>
      </c>
      <c r="B615" s="1">
        <v>1308</v>
      </c>
      <c r="C615" s="1" t="s">
        <v>3849</v>
      </c>
      <c r="D615" s="2" t="s">
        <v>3850</v>
      </c>
      <c r="E615" s="1" t="s">
        <v>29</v>
      </c>
      <c r="F615" s="1" t="s">
        <v>14</v>
      </c>
      <c r="G615" s="1" t="s">
        <v>15</v>
      </c>
      <c r="H615" s="1" t="s">
        <v>16</v>
      </c>
      <c r="I615" s="1" t="s">
        <v>3853</v>
      </c>
      <c r="J615" s="2" t="s">
        <v>3854</v>
      </c>
      <c r="K615" s="2" t="s">
        <v>3851</v>
      </c>
      <c r="L615" s="2" t="s">
        <v>3852</v>
      </c>
      <c r="M615" s="3" t="str">
        <f>VLOOKUP(G615,справочник!$B$1:$C$94,2,0)</f>
        <v>МСК</v>
      </c>
    </row>
    <row r="616" spans="1:13" ht="42" thickBot="1" x14ac:dyDescent="0.35">
      <c r="A616" s="1" t="s">
        <v>146</v>
      </c>
      <c r="B616" s="1">
        <v>1954</v>
      </c>
      <c r="C616" s="1" t="s">
        <v>3855</v>
      </c>
      <c r="D616" s="2" t="s">
        <v>3856</v>
      </c>
      <c r="E616" s="1" t="s">
        <v>20</v>
      </c>
      <c r="F616" s="1" t="s">
        <v>30</v>
      </c>
      <c r="G616" s="1" t="s">
        <v>31</v>
      </c>
      <c r="H616" s="1" t="s">
        <v>32</v>
      </c>
      <c r="I616" s="1" t="s">
        <v>3857</v>
      </c>
      <c r="J616" s="2" t="s">
        <v>2551</v>
      </c>
      <c r="K616" s="2" t="s">
        <v>3858</v>
      </c>
      <c r="L616" s="2" t="s">
        <v>3859</v>
      </c>
      <c r="M616" s="3" t="str">
        <f>VLOOKUP(G616,справочник!$B$1:$C$94,2,0)</f>
        <v>МСК</v>
      </c>
    </row>
    <row r="617" spans="1:13" ht="42" thickBot="1" x14ac:dyDescent="0.35">
      <c r="A617" s="1" t="s">
        <v>146</v>
      </c>
      <c r="B617" s="1">
        <v>626</v>
      </c>
      <c r="C617" s="1" t="s">
        <v>3860</v>
      </c>
      <c r="D617" s="2" t="s">
        <v>3861</v>
      </c>
      <c r="E617" s="1" t="s">
        <v>29</v>
      </c>
      <c r="F617" s="1" t="s">
        <v>30</v>
      </c>
      <c r="G617" s="1" t="s">
        <v>3862</v>
      </c>
      <c r="H617" s="1" t="s">
        <v>3864</v>
      </c>
      <c r="I617" s="1" t="s">
        <v>3865</v>
      </c>
      <c r="J617" s="2" t="s">
        <v>3866</v>
      </c>
      <c r="K617" s="2" t="s">
        <v>3867</v>
      </c>
      <c r="L617" s="2" t="s">
        <v>3863</v>
      </c>
      <c r="M617" s="3" t="str">
        <f>VLOOKUP(G617,справочник!$B$1:$C$94,2,0)</f>
        <v>МСК</v>
      </c>
    </row>
    <row r="618" spans="1:13" ht="42" thickBot="1" x14ac:dyDescent="0.35">
      <c r="A618" s="1" t="s">
        <v>54</v>
      </c>
      <c r="B618" s="1">
        <v>7596</v>
      </c>
      <c r="C618" s="1" t="s">
        <v>3868</v>
      </c>
      <c r="D618" s="2" t="s">
        <v>3869</v>
      </c>
      <c r="E618" s="1" t="s">
        <v>29</v>
      </c>
      <c r="F618" s="1" t="s">
        <v>14</v>
      </c>
      <c r="G618" s="1" t="s">
        <v>637</v>
      </c>
      <c r="H618" s="1" t="s">
        <v>3870</v>
      </c>
      <c r="I618" s="1" t="s">
        <v>3871</v>
      </c>
      <c r="J618" s="2" t="s">
        <v>3872</v>
      </c>
      <c r="K618" s="2" t="s">
        <v>3873</v>
      </c>
      <c r="L618" s="2" t="s">
        <v>3874</v>
      </c>
      <c r="M618" s="3" t="str">
        <f>VLOOKUP(G618,справочник!$B$1:$C$94,2,0)</f>
        <v>МСК</v>
      </c>
    </row>
    <row r="619" spans="1:13" ht="42" thickBot="1" x14ac:dyDescent="0.35">
      <c r="A619" s="1" t="s">
        <v>168</v>
      </c>
      <c r="B619" s="1">
        <v>119</v>
      </c>
      <c r="C619" s="1" t="s">
        <v>3875</v>
      </c>
      <c r="D619" s="2" t="s">
        <v>3876</v>
      </c>
      <c r="E619" s="1" t="s">
        <v>29</v>
      </c>
      <c r="F619" s="1" t="s">
        <v>222</v>
      </c>
      <c r="G619" s="1" t="s">
        <v>223</v>
      </c>
      <c r="H619" s="1" t="s">
        <v>3878</v>
      </c>
      <c r="I619" s="1" t="s">
        <v>3879</v>
      </c>
      <c r="J619" s="2" t="s">
        <v>3880</v>
      </c>
      <c r="K619" s="2" t="s">
        <v>3881</v>
      </c>
      <c r="L619" s="2" t="s">
        <v>3877</v>
      </c>
      <c r="M619" s="3" t="str">
        <f>VLOOKUP(G619,справочник!$B$1:$C$94,2,0)</f>
        <v>МСК</v>
      </c>
    </row>
    <row r="620" spans="1:13" ht="55.8" thickBot="1" x14ac:dyDescent="0.35">
      <c r="A620" s="1" t="s">
        <v>146</v>
      </c>
      <c r="B620" s="1">
        <v>2293</v>
      </c>
      <c r="C620" s="1" t="s">
        <v>3882</v>
      </c>
      <c r="D620" s="2" t="s">
        <v>3883</v>
      </c>
      <c r="E620" s="1" t="s">
        <v>20</v>
      </c>
      <c r="F620" s="1" t="s">
        <v>47</v>
      </c>
      <c r="G620" s="1" t="s">
        <v>48</v>
      </c>
      <c r="H620" s="1" t="s">
        <v>49</v>
      </c>
      <c r="I620" s="1" t="s">
        <v>3884</v>
      </c>
      <c r="J620" s="2" t="s">
        <v>92</v>
      </c>
      <c r="K620" s="2" t="s">
        <v>92</v>
      </c>
      <c r="L620" s="2" t="s">
        <v>92</v>
      </c>
      <c r="M620" s="3" t="str">
        <f>VLOOKUP(G620,справочник!$B$1:$C$94,2,0)</f>
        <v>МСК+2</v>
      </c>
    </row>
    <row r="621" spans="1:13" ht="55.8" thickBot="1" x14ac:dyDescent="0.35">
      <c r="A621" s="1" t="s">
        <v>146</v>
      </c>
      <c r="B621" s="1">
        <v>1898</v>
      </c>
      <c r="C621" s="1" t="s">
        <v>3885</v>
      </c>
      <c r="D621" s="2" t="s">
        <v>3886</v>
      </c>
      <c r="E621" s="1" t="s">
        <v>20</v>
      </c>
      <c r="F621" s="1" t="s">
        <v>114</v>
      </c>
      <c r="G621" s="1" t="s">
        <v>115</v>
      </c>
      <c r="H621" s="1" t="s">
        <v>117</v>
      </c>
      <c r="I621" s="1" t="s">
        <v>3887</v>
      </c>
      <c r="J621" s="2" t="s">
        <v>2150</v>
      </c>
      <c r="K621" s="2" t="s">
        <v>2150</v>
      </c>
      <c r="L621" s="2" t="s">
        <v>2150</v>
      </c>
      <c r="M621" s="3" t="str">
        <f>VLOOKUP(G621,справочник!$B$1:$C$94,2,0)</f>
        <v>МСК+9</v>
      </c>
    </row>
    <row r="622" spans="1:13" ht="55.8" thickBot="1" x14ac:dyDescent="0.35">
      <c r="A622" s="1" t="s">
        <v>12</v>
      </c>
      <c r="B622" s="1">
        <v>7847</v>
      </c>
      <c r="C622" s="1" t="s">
        <v>3888</v>
      </c>
      <c r="D622" s="2" t="s">
        <v>3889</v>
      </c>
      <c r="E622" s="1" t="s">
        <v>86</v>
      </c>
      <c r="F622" s="1" t="s">
        <v>14</v>
      </c>
      <c r="G622" s="1" t="s">
        <v>15</v>
      </c>
      <c r="H622" s="1" t="s">
        <v>3890</v>
      </c>
      <c r="I622" s="1" t="s">
        <v>3891</v>
      </c>
      <c r="J622" s="2" t="s">
        <v>1951</v>
      </c>
      <c r="K622" s="2" t="s">
        <v>3892</v>
      </c>
      <c r="L622" s="2" t="s">
        <v>3893</v>
      </c>
      <c r="M622" s="3" t="str">
        <f>VLOOKUP(G622,справочник!$B$1:$C$94,2,0)</f>
        <v>МСК</v>
      </c>
    </row>
    <row r="623" spans="1:13" ht="55.8" thickBot="1" x14ac:dyDescent="0.35">
      <c r="A623" s="1" t="s">
        <v>146</v>
      </c>
      <c r="B623" s="1">
        <v>306</v>
      </c>
      <c r="C623" s="1" t="s">
        <v>3894</v>
      </c>
      <c r="D623" s="2" t="s">
        <v>3895</v>
      </c>
      <c r="E623" s="1" t="s">
        <v>20</v>
      </c>
      <c r="F623" s="1" t="s">
        <v>14</v>
      </c>
      <c r="G623" s="1" t="s">
        <v>15</v>
      </c>
      <c r="H623" s="1" t="s">
        <v>16</v>
      </c>
      <c r="I623" s="1" t="s">
        <v>3896</v>
      </c>
      <c r="J623" s="2" t="s">
        <v>92</v>
      </c>
      <c r="K623" s="2" t="s">
        <v>92</v>
      </c>
      <c r="L623" s="2" t="s">
        <v>92</v>
      </c>
      <c r="M623" s="3" t="str">
        <f>VLOOKUP(G623,справочник!$B$1:$C$94,2,0)</f>
        <v>МСК</v>
      </c>
    </row>
    <row r="624" spans="1:13" ht="42" thickBot="1" x14ac:dyDescent="0.35">
      <c r="A624" s="1" t="s">
        <v>146</v>
      </c>
      <c r="B624" s="1">
        <v>4018</v>
      </c>
      <c r="C624" s="1" t="s">
        <v>3897</v>
      </c>
      <c r="D624" s="2" t="s">
        <v>3898</v>
      </c>
      <c r="E624" s="1" t="s">
        <v>20</v>
      </c>
      <c r="F624" s="1" t="s">
        <v>21</v>
      </c>
      <c r="G624" s="1" t="s">
        <v>1476</v>
      </c>
      <c r="H624" s="1" t="s">
        <v>1492</v>
      </c>
      <c r="I624" s="1" t="s">
        <v>3899</v>
      </c>
      <c r="J624" s="2" t="s">
        <v>92</v>
      </c>
      <c r="K624" s="2" t="s">
        <v>92</v>
      </c>
      <c r="L624" s="2" t="s">
        <v>92</v>
      </c>
      <c r="M624" s="3" t="str">
        <f>VLOOKUP(G624,справочник!$B$1:$C$94,2,0)</f>
        <v>МСК</v>
      </c>
    </row>
    <row r="625" spans="1:13" ht="42" thickBot="1" x14ac:dyDescent="0.35">
      <c r="A625" s="1" t="s">
        <v>146</v>
      </c>
      <c r="B625" s="1">
        <v>2159</v>
      </c>
      <c r="C625" s="1" t="s">
        <v>3900</v>
      </c>
      <c r="D625" s="2" t="s">
        <v>3901</v>
      </c>
      <c r="E625" s="1" t="s">
        <v>20</v>
      </c>
      <c r="F625" s="1" t="s">
        <v>14</v>
      </c>
      <c r="G625" s="1" t="s">
        <v>15</v>
      </c>
      <c r="H625" s="1" t="s">
        <v>16</v>
      </c>
      <c r="I625" s="1" t="s">
        <v>3902</v>
      </c>
      <c r="J625" s="2" t="s">
        <v>3903</v>
      </c>
      <c r="K625" s="2" t="s">
        <v>3904</v>
      </c>
      <c r="L625" s="2" t="s">
        <v>3905</v>
      </c>
      <c r="M625" s="3" t="str">
        <f>VLOOKUP(G625,справочник!$B$1:$C$94,2,0)</f>
        <v>МСК</v>
      </c>
    </row>
    <row r="626" spans="1:13" ht="42" thickBot="1" x14ac:dyDescent="0.35">
      <c r="A626" s="1" t="s">
        <v>146</v>
      </c>
      <c r="B626" s="1">
        <v>1874</v>
      </c>
      <c r="C626" s="1" t="s">
        <v>3906</v>
      </c>
      <c r="D626" s="2" t="s">
        <v>3907</v>
      </c>
      <c r="E626" s="1" t="s">
        <v>20</v>
      </c>
      <c r="F626" s="1" t="s">
        <v>14</v>
      </c>
      <c r="G626" s="1" t="s">
        <v>15</v>
      </c>
      <c r="H626" s="1" t="s">
        <v>16</v>
      </c>
      <c r="I626" s="1" t="s">
        <v>3908</v>
      </c>
      <c r="J626" s="2" t="s">
        <v>3909</v>
      </c>
      <c r="K626" s="2" t="s">
        <v>3910</v>
      </c>
      <c r="L626" s="2" t="s">
        <v>3911</v>
      </c>
      <c r="M626" s="3" t="str">
        <f>VLOOKUP(G626,справочник!$B$1:$C$94,2,0)</f>
        <v>МСК</v>
      </c>
    </row>
    <row r="627" spans="1:13" ht="42" thickBot="1" x14ac:dyDescent="0.35">
      <c r="A627" s="1" t="s">
        <v>146</v>
      </c>
      <c r="B627" s="1">
        <v>2032</v>
      </c>
      <c r="C627" s="1" t="s">
        <v>3912</v>
      </c>
      <c r="D627" s="2" t="s">
        <v>3913</v>
      </c>
      <c r="E627" s="1" t="s">
        <v>20</v>
      </c>
      <c r="F627" s="1" t="s">
        <v>14</v>
      </c>
      <c r="G627" s="1" t="s">
        <v>15</v>
      </c>
      <c r="H627" s="1" t="s">
        <v>16</v>
      </c>
      <c r="I627" s="1" t="s">
        <v>3914</v>
      </c>
      <c r="J627" s="2" t="s">
        <v>3915</v>
      </c>
      <c r="K627" s="2" t="s">
        <v>3916</v>
      </c>
      <c r="L627" s="2" t="s">
        <v>3917</v>
      </c>
      <c r="M627" s="3" t="str">
        <f>VLOOKUP(G627,справочник!$B$1:$C$94,2,0)</f>
        <v>МСК</v>
      </c>
    </row>
    <row r="628" spans="1:13" ht="42" thickBot="1" x14ac:dyDescent="0.35">
      <c r="A628" s="1" t="s">
        <v>131</v>
      </c>
      <c r="B628" s="1">
        <v>3596</v>
      </c>
      <c r="C628" s="1" t="s">
        <v>3918</v>
      </c>
      <c r="D628" s="2" t="s">
        <v>3919</v>
      </c>
      <c r="E628" s="1" t="s">
        <v>104</v>
      </c>
      <c r="F628" s="1" t="s">
        <v>30</v>
      </c>
      <c r="G628" s="1" t="s">
        <v>31</v>
      </c>
      <c r="H628" s="1" t="s">
        <v>32</v>
      </c>
      <c r="I628" s="1" t="s">
        <v>3920</v>
      </c>
      <c r="J628" s="2" t="s">
        <v>3921</v>
      </c>
      <c r="K628" s="2" t="s">
        <v>3922</v>
      </c>
      <c r="L628" s="2" t="s">
        <v>3923</v>
      </c>
      <c r="M628" s="3" t="str">
        <f>VLOOKUP(G628,справочник!$B$1:$C$94,2,0)</f>
        <v>МСК</v>
      </c>
    </row>
    <row r="629" spans="1:13" ht="42" thickBot="1" x14ac:dyDescent="0.35">
      <c r="A629" s="1" t="s">
        <v>146</v>
      </c>
      <c r="B629" s="1">
        <v>2317</v>
      </c>
      <c r="C629" s="1" t="s">
        <v>3924</v>
      </c>
      <c r="D629" s="2" t="s">
        <v>3925</v>
      </c>
      <c r="E629" s="1" t="s">
        <v>20</v>
      </c>
      <c r="F629" s="1" t="s">
        <v>36</v>
      </c>
      <c r="G629" s="1" t="s">
        <v>2996</v>
      </c>
      <c r="H629" s="1" t="s">
        <v>3180</v>
      </c>
      <c r="I629" s="1" t="s">
        <v>3927</v>
      </c>
      <c r="J629" s="2" t="s">
        <v>3928</v>
      </c>
      <c r="K629" s="2" t="s">
        <v>3929</v>
      </c>
      <c r="L629" s="2" t="s">
        <v>3926</v>
      </c>
      <c r="M629" s="3" t="str">
        <f>VLOOKUP(G629,справочник!$B$1:$C$94,2,0)</f>
        <v>МСК+4</v>
      </c>
    </row>
    <row r="630" spans="1:13" ht="42" thickBot="1" x14ac:dyDescent="0.35">
      <c r="A630" s="1" t="s">
        <v>146</v>
      </c>
      <c r="B630" s="1">
        <v>1812</v>
      </c>
      <c r="C630" s="1" t="s">
        <v>3930</v>
      </c>
      <c r="D630" s="2" t="s">
        <v>3931</v>
      </c>
      <c r="E630" s="1" t="s">
        <v>20</v>
      </c>
      <c r="F630" s="1" t="s">
        <v>36</v>
      </c>
      <c r="G630" s="1" t="s">
        <v>2996</v>
      </c>
      <c r="H630" s="1" t="s">
        <v>2998</v>
      </c>
      <c r="I630" s="1" t="s">
        <v>3933</v>
      </c>
      <c r="J630" s="2" t="s">
        <v>3934</v>
      </c>
      <c r="K630" s="2" t="s">
        <v>3935</v>
      </c>
      <c r="L630" s="2" t="s">
        <v>3932</v>
      </c>
      <c r="M630" s="3" t="str">
        <f>VLOOKUP(G630,справочник!$B$1:$C$94,2,0)</f>
        <v>МСК+4</v>
      </c>
    </row>
    <row r="631" spans="1:13" ht="42" thickBot="1" x14ac:dyDescent="0.35">
      <c r="A631" s="1" t="s">
        <v>146</v>
      </c>
      <c r="B631" s="1">
        <v>1867</v>
      </c>
      <c r="C631" s="1" t="s">
        <v>3936</v>
      </c>
      <c r="D631" s="2" t="s">
        <v>3937</v>
      </c>
      <c r="E631" s="1" t="s">
        <v>20</v>
      </c>
      <c r="F631" s="1" t="s">
        <v>14</v>
      </c>
      <c r="G631" s="1" t="s">
        <v>15</v>
      </c>
      <c r="H631" s="1" t="s">
        <v>16</v>
      </c>
      <c r="I631" s="1" t="s">
        <v>3940</v>
      </c>
      <c r="J631" s="2" t="s">
        <v>2267</v>
      </c>
      <c r="K631" s="2" t="s">
        <v>3938</v>
      </c>
      <c r="L631" s="2" t="s">
        <v>3939</v>
      </c>
      <c r="M631" s="3" t="str">
        <f>VLOOKUP(G631,справочник!$B$1:$C$94,2,0)</f>
        <v>МСК</v>
      </c>
    </row>
    <row r="632" spans="1:13" ht="42" thickBot="1" x14ac:dyDescent="0.35">
      <c r="A632" s="1" t="s">
        <v>146</v>
      </c>
      <c r="B632" s="1">
        <v>2729</v>
      </c>
      <c r="C632" s="1" t="s">
        <v>3941</v>
      </c>
      <c r="D632" s="2" t="s">
        <v>3942</v>
      </c>
      <c r="E632" s="1" t="s">
        <v>20</v>
      </c>
      <c r="F632" s="1" t="s">
        <v>36</v>
      </c>
      <c r="G632" s="1" t="s">
        <v>1181</v>
      </c>
      <c r="H632" s="1" t="s">
        <v>2675</v>
      </c>
      <c r="I632" s="1" t="s">
        <v>3943</v>
      </c>
      <c r="J632" s="2" t="s">
        <v>3944</v>
      </c>
      <c r="K632" s="2" t="s">
        <v>3945</v>
      </c>
      <c r="L632" s="2" t="s">
        <v>3946</v>
      </c>
      <c r="M632" s="3" t="str">
        <f>VLOOKUP(G632,справочник!$B$1:$C$94,2,0)</f>
        <v>МСК+4</v>
      </c>
    </row>
    <row r="633" spans="1:13" ht="42" thickBot="1" x14ac:dyDescent="0.35">
      <c r="A633" s="1" t="s">
        <v>54</v>
      </c>
      <c r="B633" s="1">
        <v>3958</v>
      </c>
      <c r="C633" s="1" t="s">
        <v>3947</v>
      </c>
      <c r="D633" s="2" t="s">
        <v>3948</v>
      </c>
      <c r="E633" s="1" t="s">
        <v>104</v>
      </c>
      <c r="F633" s="1" t="s">
        <v>14</v>
      </c>
      <c r="G633" s="1" t="s">
        <v>15</v>
      </c>
      <c r="H633" s="1" t="s">
        <v>16</v>
      </c>
      <c r="I633" s="1" t="s">
        <v>3950</v>
      </c>
      <c r="J633" s="2" t="s">
        <v>3951</v>
      </c>
      <c r="K633" s="2" t="s">
        <v>3952</v>
      </c>
      <c r="L633" s="2" t="s">
        <v>3949</v>
      </c>
      <c r="M633" s="3" t="str">
        <f>VLOOKUP(G633,справочник!$B$1:$C$94,2,0)</f>
        <v>МСК</v>
      </c>
    </row>
    <row r="634" spans="1:13" ht="42" thickBot="1" x14ac:dyDescent="0.35">
      <c r="A634" s="1" t="s">
        <v>146</v>
      </c>
      <c r="B634" s="1">
        <v>2266</v>
      </c>
      <c r="C634" s="1" t="s">
        <v>3953</v>
      </c>
      <c r="D634" s="2" t="s">
        <v>3954</v>
      </c>
      <c r="E634" s="1" t="s">
        <v>20</v>
      </c>
      <c r="F634" s="1" t="s">
        <v>14</v>
      </c>
      <c r="G634" s="1" t="s">
        <v>15</v>
      </c>
      <c r="H634" s="1" t="s">
        <v>16</v>
      </c>
      <c r="I634" s="1" t="s">
        <v>3955</v>
      </c>
      <c r="J634" s="2" t="s">
        <v>3956</v>
      </c>
      <c r="K634" s="2" t="s">
        <v>3957</v>
      </c>
      <c r="L634" s="2" t="s">
        <v>3958</v>
      </c>
      <c r="M634" s="3" t="str">
        <f>VLOOKUP(G634,справочник!$B$1:$C$94,2,0)</f>
        <v>МСК</v>
      </c>
    </row>
    <row r="635" spans="1:13" ht="69.599999999999994" thickBot="1" x14ac:dyDescent="0.35">
      <c r="A635" s="1" t="s">
        <v>54</v>
      </c>
      <c r="B635" s="1">
        <v>3635</v>
      </c>
      <c r="C635" s="1" t="s">
        <v>3959</v>
      </c>
      <c r="D635" s="2" t="s">
        <v>3960</v>
      </c>
      <c r="E635" s="1" t="s">
        <v>104</v>
      </c>
      <c r="F635" s="1" t="s">
        <v>14</v>
      </c>
      <c r="G635" s="1" t="s">
        <v>15</v>
      </c>
      <c r="H635" s="1" t="s">
        <v>375</v>
      </c>
      <c r="I635" s="1" t="s">
        <v>3962</v>
      </c>
      <c r="J635" s="2" t="s">
        <v>394</v>
      </c>
      <c r="K635" s="2" t="s">
        <v>3963</v>
      </c>
      <c r="L635" s="2" t="s">
        <v>3961</v>
      </c>
      <c r="M635" s="3" t="str">
        <f>VLOOKUP(G635,справочник!$B$1:$C$94,2,0)</f>
        <v>МСК</v>
      </c>
    </row>
    <row r="636" spans="1:13" ht="42" thickBot="1" x14ac:dyDescent="0.35">
      <c r="A636" s="1" t="s">
        <v>146</v>
      </c>
      <c r="B636" s="1">
        <v>300</v>
      </c>
      <c r="C636" s="1" t="s">
        <v>3964</v>
      </c>
      <c r="D636" s="2" t="s">
        <v>3965</v>
      </c>
      <c r="E636" s="1" t="s">
        <v>20</v>
      </c>
      <c r="F636" s="1" t="s">
        <v>14</v>
      </c>
      <c r="G636" s="1" t="s">
        <v>15</v>
      </c>
      <c r="H636" s="1" t="s">
        <v>16</v>
      </c>
      <c r="I636" s="1" t="s">
        <v>3966</v>
      </c>
      <c r="J636" s="2" t="s">
        <v>92</v>
      </c>
      <c r="K636" s="2" t="s">
        <v>92</v>
      </c>
      <c r="L636" s="2" t="s">
        <v>92</v>
      </c>
      <c r="M636" s="3" t="str">
        <f>VLOOKUP(G636,справочник!$B$1:$C$94,2,0)</f>
        <v>МСК</v>
      </c>
    </row>
    <row r="637" spans="1:13" ht="42" thickBot="1" x14ac:dyDescent="0.35">
      <c r="A637" s="1" t="s">
        <v>146</v>
      </c>
      <c r="B637" s="1">
        <v>2091</v>
      </c>
      <c r="C637" s="1" t="s">
        <v>3967</v>
      </c>
      <c r="D637" s="2" t="s">
        <v>3968</v>
      </c>
      <c r="E637" s="1" t="s">
        <v>20</v>
      </c>
      <c r="F637" s="1" t="s">
        <v>14</v>
      </c>
      <c r="G637" s="1" t="s">
        <v>15</v>
      </c>
      <c r="H637" s="1" t="s">
        <v>16</v>
      </c>
      <c r="I637" s="1" t="s">
        <v>3969</v>
      </c>
      <c r="J637" s="2" t="s">
        <v>3970</v>
      </c>
      <c r="K637" s="2" t="s">
        <v>3971</v>
      </c>
      <c r="L637" s="2" t="s">
        <v>3972</v>
      </c>
      <c r="M637" s="3" t="str">
        <f>VLOOKUP(G637,справочник!$B$1:$C$94,2,0)</f>
        <v>МСК</v>
      </c>
    </row>
    <row r="638" spans="1:13" ht="42" thickBot="1" x14ac:dyDescent="0.35">
      <c r="A638" s="1" t="s">
        <v>1237</v>
      </c>
      <c r="B638" s="1">
        <v>3403</v>
      </c>
      <c r="C638" s="1" t="s">
        <v>3973</v>
      </c>
      <c r="D638" s="2" t="s">
        <v>3974</v>
      </c>
      <c r="E638" s="1" t="s">
        <v>20</v>
      </c>
      <c r="F638" s="1" t="s">
        <v>14</v>
      </c>
      <c r="G638" s="1" t="s">
        <v>15</v>
      </c>
      <c r="H638" s="1" t="s">
        <v>16</v>
      </c>
      <c r="I638" s="1" t="s">
        <v>3975</v>
      </c>
      <c r="J638" s="2" t="s">
        <v>3715</v>
      </c>
      <c r="K638" s="2" t="s">
        <v>3976</v>
      </c>
      <c r="L638" s="2" t="s">
        <v>3977</v>
      </c>
      <c r="M638" s="3" t="str">
        <f>VLOOKUP(G638,справочник!$B$1:$C$94,2,0)</f>
        <v>МСК</v>
      </c>
    </row>
    <row r="639" spans="1:13" ht="42" thickBot="1" x14ac:dyDescent="0.35">
      <c r="A639" s="1" t="s">
        <v>146</v>
      </c>
      <c r="B639" s="1">
        <v>2006</v>
      </c>
      <c r="C639" s="1" t="s">
        <v>3978</v>
      </c>
      <c r="D639" s="2" t="s">
        <v>3979</v>
      </c>
      <c r="E639" s="1" t="s">
        <v>20</v>
      </c>
      <c r="F639" s="1" t="s">
        <v>14</v>
      </c>
      <c r="G639" s="1" t="s">
        <v>43</v>
      </c>
      <c r="H639" s="1" t="s">
        <v>3980</v>
      </c>
      <c r="I639" s="1" t="s">
        <v>3981</v>
      </c>
      <c r="J639" s="2" t="s">
        <v>3982</v>
      </c>
      <c r="K639" s="2" t="s">
        <v>3983</v>
      </c>
      <c r="L639" s="2" t="s">
        <v>3984</v>
      </c>
      <c r="M639" s="3" t="str">
        <f>VLOOKUP(G639,справочник!$B$1:$C$94,2,0)</f>
        <v>МСК</v>
      </c>
    </row>
    <row r="640" spans="1:13" ht="42" thickBot="1" x14ac:dyDescent="0.35">
      <c r="A640" s="1" t="s">
        <v>146</v>
      </c>
      <c r="B640" s="1">
        <v>2695</v>
      </c>
      <c r="C640" s="1" t="s">
        <v>3985</v>
      </c>
      <c r="D640" s="2" t="s">
        <v>3986</v>
      </c>
      <c r="E640" s="1" t="s">
        <v>20</v>
      </c>
      <c r="F640" s="1" t="s">
        <v>14</v>
      </c>
      <c r="G640" s="1" t="s">
        <v>15</v>
      </c>
      <c r="H640" s="1" t="s">
        <v>16</v>
      </c>
      <c r="I640" s="1" t="s">
        <v>3988</v>
      </c>
      <c r="J640" s="2" t="s">
        <v>2860</v>
      </c>
      <c r="K640" s="2" t="s">
        <v>3989</v>
      </c>
      <c r="L640" s="2" t="s">
        <v>3987</v>
      </c>
      <c r="M640" s="3" t="str">
        <f>VLOOKUP(G640,справочник!$B$1:$C$94,2,0)</f>
        <v>МСК</v>
      </c>
    </row>
    <row r="641" spans="1:13" ht="42" thickBot="1" x14ac:dyDescent="0.35">
      <c r="A641" s="1" t="s">
        <v>146</v>
      </c>
      <c r="B641" s="1">
        <v>1862</v>
      </c>
      <c r="C641" s="1" t="s">
        <v>3990</v>
      </c>
      <c r="D641" s="2" t="s">
        <v>3991</v>
      </c>
      <c r="E641" s="1" t="s">
        <v>20</v>
      </c>
      <c r="F641" s="1" t="s">
        <v>21</v>
      </c>
      <c r="G641" s="1" t="s">
        <v>1043</v>
      </c>
      <c r="H641" s="1" t="s">
        <v>3116</v>
      </c>
      <c r="I641" s="1" t="s">
        <v>3993</v>
      </c>
      <c r="J641" s="2" t="s">
        <v>3994</v>
      </c>
      <c r="K641" s="2" t="s">
        <v>3995</v>
      </c>
      <c r="L641" s="2" t="s">
        <v>3992</v>
      </c>
      <c r="M641" s="3" t="str">
        <f>VLOOKUP(G641,справочник!$B$1:$C$94,2,0)</f>
        <v>МСК</v>
      </c>
    </row>
    <row r="642" spans="1:13" ht="55.8" thickBot="1" x14ac:dyDescent="0.35">
      <c r="A642" s="1" t="s">
        <v>54</v>
      </c>
      <c r="B642" s="1">
        <v>3275</v>
      </c>
      <c r="C642" s="1" t="s">
        <v>3996</v>
      </c>
      <c r="D642" s="2" t="s">
        <v>3997</v>
      </c>
      <c r="E642" s="1" t="s">
        <v>20</v>
      </c>
      <c r="F642" s="1" t="s">
        <v>14</v>
      </c>
      <c r="G642" s="1" t="s">
        <v>15</v>
      </c>
      <c r="H642" s="1" t="s">
        <v>16</v>
      </c>
      <c r="I642" s="1" t="s">
        <v>3998</v>
      </c>
      <c r="J642" s="2" t="s">
        <v>3999</v>
      </c>
      <c r="K642" s="2" t="s">
        <v>4000</v>
      </c>
      <c r="L642" s="2" t="s">
        <v>4001</v>
      </c>
      <c r="M642" s="3" t="str">
        <f>VLOOKUP(G642,справочник!$B$1:$C$94,2,0)</f>
        <v>МСК</v>
      </c>
    </row>
    <row r="643" spans="1:13" ht="55.8" thickBot="1" x14ac:dyDescent="0.35">
      <c r="A643" s="1" t="s">
        <v>4002</v>
      </c>
      <c r="B643" s="1">
        <v>3657</v>
      </c>
      <c r="C643" s="1" t="s">
        <v>4003</v>
      </c>
      <c r="D643" s="2" t="s">
        <v>4004</v>
      </c>
      <c r="E643" s="1" t="s">
        <v>20</v>
      </c>
      <c r="F643" s="1" t="s">
        <v>14</v>
      </c>
      <c r="G643" s="1" t="s">
        <v>15</v>
      </c>
      <c r="H643" s="1" t="s">
        <v>16</v>
      </c>
      <c r="I643" s="1" t="s">
        <v>4006</v>
      </c>
      <c r="J643" s="2" t="s">
        <v>4007</v>
      </c>
      <c r="K643" s="2" t="s">
        <v>4008</v>
      </c>
      <c r="L643" s="2" t="s">
        <v>4005</v>
      </c>
      <c r="M643" s="3" t="str">
        <f>VLOOKUP(G643,справочник!$B$1:$C$94,2,0)</f>
        <v>МСК</v>
      </c>
    </row>
    <row r="644" spans="1:13" ht="42" thickBot="1" x14ac:dyDescent="0.35">
      <c r="A644" s="1" t="s">
        <v>146</v>
      </c>
      <c r="B644" s="1">
        <v>2144</v>
      </c>
      <c r="C644" s="1" t="s">
        <v>4009</v>
      </c>
      <c r="D644" s="2" t="s">
        <v>4010</v>
      </c>
      <c r="E644" s="1" t="s">
        <v>20</v>
      </c>
      <c r="F644" s="1" t="s">
        <v>36</v>
      </c>
      <c r="G644" s="1" t="s">
        <v>1181</v>
      </c>
      <c r="H644" s="1" t="s">
        <v>1710</v>
      </c>
      <c r="I644" s="1" t="s">
        <v>4012</v>
      </c>
      <c r="J644" s="2" t="s">
        <v>4013</v>
      </c>
      <c r="K644" s="2" t="s">
        <v>4014</v>
      </c>
      <c r="L644" s="2" t="s">
        <v>4011</v>
      </c>
      <c r="M644" s="3" t="str">
        <f>VLOOKUP(G644,справочник!$B$1:$C$94,2,0)</f>
        <v>МСК+4</v>
      </c>
    </row>
    <row r="645" spans="1:13" ht="42" thickBot="1" x14ac:dyDescent="0.35">
      <c r="A645" s="1" t="s">
        <v>146</v>
      </c>
      <c r="B645" s="1">
        <v>1915</v>
      </c>
      <c r="C645" s="1" t="s">
        <v>4015</v>
      </c>
      <c r="D645" s="2" t="s">
        <v>4016</v>
      </c>
      <c r="E645" s="1" t="s">
        <v>20</v>
      </c>
      <c r="F645" s="1" t="s">
        <v>14</v>
      </c>
      <c r="G645" s="1" t="s">
        <v>15</v>
      </c>
      <c r="H645" s="1" t="s">
        <v>16</v>
      </c>
      <c r="I645" s="1" t="s">
        <v>4018</v>
      </c>
      <c r="J645" s="2" t="s">
        <v>4019</v>
      </c>
      <c r="K645" s="2" t="s">
        <v>4020</v>
      </c>
      <c r="L645" s="2" t="s">
        <v>4017</v>
      </c>
      <c r="M645" s="3" t="str">
        <f>VLOOKUP(G645,справочник!$B$1:$C$94,2,0)</f>
        <v>МСК</v>
      </c>
    </row>
    <row r="646" spans="1:13" ht="42" thickBot="1" x14ac:dyDescent="0.35">
      <c r="A646" s="1" t="s">
        <v>131</v>
      </c>
      <c r="B646" s="1">
        <v>7597</v>
      </c>
      <c r="C646" s="1" t="s">
        <v>4021</v>
      </c>
      <c r="D646" s="2" t="s">
        <v>4022</v>
      </c>
      <c r="E646" s="1" t="s">
        <v>104</v>
      </c>
      <c r="F646" s="1" t="s">
        <v>14</v>
      </c>
      <c r="G646" s="1" t="s">
        <v>43</v>
      </c>
      <c r="H646" s="1" t="s">
        <v>3063</v>
      </c>
      <c r="I646" s="1" t="s">
        <v>4024</v>
      </c>
      <c r="J646" s="2" t="s">
        <v>4025</v>
      </c>
      <c r="K646" s="2" t="s">
        <v>4026</v>
      </c>
      <c r="L646" s="2" t="s">
        <v>4023</v>
      </c>
      <c r="M646" s="3" t="str">
        <f>VLOOKUP(G646,справочник!$B$1:$C$94,2,0)</f>
        <v>МСК</v>
      </c>
    </row>
    <row r="647" spans="1:13" ht="42" thickBot="1" x14ac:dyDescent="0.35">
      <c r="A647" s="1" t="s">
        <v>54</v>
      </c>
      <c r="B647" s="1">
        <v>3669</v>
      </c>
      <c r="C647" s="1" t="s">
        <v>4027</v>
      </c>
      <c r="D647" s="2" t="s">
        <v>4028</v>
      </c>
      <c r="E647" s="1" t="s">
        <v>104</v>
      </c>
      <c r="F647" s="1" t="s">
        <v>14</v>
      </c>
      <c r="G647" s="1" t="s">
        <v>15</v>
      </c>
      <c r="H647" s="1" t="s">
        <v>16</v>
      </c>
      <c r="I647" s="1" t="s">
        <v>4029</v>
      </c>
      <c r="J647" s="2" t="s">
        <v>4030</v>
      </c>
      <c r="K647" s="2" t="s">
        <v>4031</v>
      </c>
      <c r="L647" s="2" t="s">
        <v>4032</v>
      </c>
      <c r="M647" s="3" t="str">
        <f>VLOOKUP(G647,справочник!$B$1:$C$94,2,0)</f>
        <v>МСК</v>
      </c>
    </row>
    <row r="648" spans="1:13" ht="28.2" thickBot="1" x14ac:dyDescent="0.35">
      <c r="A648" s="1" t="s">
        <v>12</v>
      </c>
      <c r="B648" s="1">
        <v>7576</v>
      </c>
      <c r="C648" s="1" t="s">
        <v>4033</v>
      </c>
      <c r="D648" s="2" t="s">
        <v>4034</v>
      </c>
      <c r="E648" s="1" t="s">
        <v>20</v>
      </c>
      <c r="F648" s="1" t="s">
        <v>14</v>
      </c>
      <c r="G648" s="1" t="s">
        <v>15</v>
      </c>
      <c r="H648" s="1" t="s">
        <v>16</v>
      </c>
      <c r="I648" s="1" t="s">
        <v>4036</v>
      </c>
      <c r="J648" s="2" t="s">
        <v>4037</v>
      </c>
      <c r="K648" s="2" t="s">
        <v>4038</v>
      </c>
      <c r="L648" s="2" t="s">
        <v>4035</v>
      </c>
      <c r="M648" s="3" t="str">
        <f>VLOOKUP(G648,справочник!$B$1:$C$94,2,0)</f>
        <v>МСК</v>
      </c>
    </row>
    <row r="649" spans="1:13" ht="42" thickBot="1" x14ac:dyDescent="0.35">
      <c r="A649" s="1" t="s">
        <v>1473</v>
      </c>
      <c r="B649" s="1">
        <v>7780</v>
      </c>
      <c r="C649" s="1" t="s">
        <v>4039</v>
      </c>
      <c r="D649" s="2" t="s">
        <v>4040</v>
      </c>
      <c r="E649" s="1" t="s">
        <v>20</v>
      </c>
      <c r="F649" s="1" t="s">
        <v>14</v>
      </c>
      <c r="G649" s="1" t="s">
        <v>15</v>
      </c>
      <c r="H649" s="1" t="s">
        <v>16</v>
      </c>
      <c r="I649" s="1" t="s">
        <v>4041</v>
      </c>
      <c r="J649" s="2" t="s">
        <v>4042</v>
      </c>
      <c r="K649" s="2" t="s">
        <v>4043</v>
      </c>
      <c r="L649" s="2" t="s">
        <v>4044</v>
      </c>
      <c r="M649" s="3" t="str">
        <f>VLOOKUP(G649,справочник!$B$1:$C$94,2,0)</f>
        <v>МСК</v>
      </c>
    </row>
    <row r="650" spans="1:13" ht="55.8" thickBot="1" x14ac:dyDescent="0.35">
      <c r="A650" s="1" t="s">
        <v>1237</v>
      </c>
      <c r="B650" s="1">
        <v>3600</v>
      </c>
      <c r="C650" s="1" t="s">
        <v>4045</v>
      </c>
      <c r="D650" s="2" t="s">
        <v>4046</v>
      </c>
      <c r="E650" s="1" t="s">
        <v>20</v>
      </c>
      <c r="F650" s="1" t="s">
        <v>30</v>
      </c>
      <c r="G650" s="1" t="s">
        <v>31</v>
      </c>
      <c r="H650" s="1" t="s">
        <v>32</v>
      </c>
      <c r="I650" s="1" t="s">
        <v>4048</v>
      </c>
      <c r="J650" s="2" t="s">
        <v>4049</v>
      </c>
      <c r="K650" s="2" t="s">
        <v>4050</v>
      </c>
      <c r="L650" s="2" t="s">
        <v>4047</v>
      </c>
      <c r="M650" s="3" t="str">
        <f>VLOOKUP(G650,справочник!$B$1:$C$94,2,0)</f>
        <v>МСК</v>
      </c>
    </row>
    <row r="651" spans="1:13" ht="55.8" thickBot="1" x14ac:dyDescent="0.35">
      <c r="A651" s="1" t="s">
        <v>54</v>
      </c>
      <c r="B651" s="1">
        <v>7543</v>
      </c>
      <c r="C651" s="1" t="s">
        <v>4051</v>
      </c>
      <c r="D651" s="2" t="s">
        <v>4052</v>
      </c>
      <c r="E651" s="1" t="s">
        <v>104</v>
      </c>
      <c r="F651" s="1" t="s">
        <v>14</v>
      </c>
      <c r="G651" s="1" t="s">
        <v>15</v>
      </c>
      <c r="H651" s="1" t="s">
        <v>375</v>
      </c>
      <c r="I651" s="1" t="s">
        <v>4054</v>
      </c>
      <c r="J651" s="2" t="s">
        <v>3358</v>
      </c>
      <c r="K651" s="2" t="s">
        <v>4055</v>
      </c>
      <c r="L651" s="2" t="s">
        <v>4053</v>
      </c>
      <c r="M651" s="3" t="str">
        <f>VLOOKUP(G651,справочник!$B$1:$C$94,2,0)</f>
        <v>МСК</v>
      </c>
    </row>
    <row r="652" spans="1:13" ht="55.8" thickBot="1" x14ac:dyDescent="0.35">
      <c r="A652" s="1" t="s">
        <v>131</v>
      </c>
      <c r="B652" s="1">
        <v>3587</v>
      </c>
      <c r="C652" s="1" t="s">
        <v>4056</v>
      </c>
      <c r="D652" s="2" t="s">
        <v>4057</v>
      </c>
      <c r="E652" s="1" t="s">
        <v>20</v>
      </c>
      <c r="F652" s="1" t="s">
        <v>14</v>
      </c>
      <c r="G652" s="1" t="s">
        <v>15</v>
      </c>
      <c r="H652" s="1" t="s">
        <v>16</v>
      </c>
      <c r="I652" s="1" t="s">
        <v>4058</v>
      </c>
      <c r="J652" s="2" t="s">
        <v>4059</v>
      </c>
      <c r="K652" s="2" t="s">
        <v>4060</v>
      </c>
      <c r="L652" s="2" t="s">
        <v>4061</v>
      </c>
      <c r="M652" s="3" t="str">
        <f>VLOOKUP(G652,справочник!$B$1:$C$94,2,0)</f>
        <v>МСК</v>
      </c>
    </row>
    <row r="653" spans="1:13" ht="55.8" thickBot="1" x14ac:dyDescent="0.35">
      <c r="A653" s="1" t="s">
        <v>131</v>
      </c>
      <c r="B653" s="1">
        <v>3586</v>
      </c>
      <c r="C653" s="1" t="s">
        <v>4062</v>
      </c>
      <c r="D653" s="2" t="s">
        <v>4063</v>
      </c>
      <c r="E653" s="1" t="s">
        <v>20</v>
      </c>
      <c r="F653" s="1" t="s">
        <v>14</v>
      </c>
      <c r="G653" s="1" t="s">
        <v>15</v>
      </c>
      <c r="H653" s="1" t="s">
        <v>15</v>
      </c>
      <c r="I653" s="1" t="s">
        <v>4064</v>
      </c>
      <c r="J653" s="2" t="s">
        <v>922</v>
      </c>
      <c r="K653" s="2" t="s">
        <v>4065</v>
      </c>
      <c r="L653" s="2" t="s">
        <v>4066</v>
      </c>
      <c r="M653" s="3" t="str">
        <f>VLOOKUP(G653,справочник!$B$1:$C$94,2,0)</f>
        <v>МСК</v>
      </c>
    </row>
    <row r="654" spans="1:13" ht="42" thickBot="1" x14ac:dyDescent="0.35">
      <c r="A654" s="1" t="s">
        <v>146</v>
      </c>
      <c r="B654" s="1">
        <v>302</v>
      </c>
      <c r="C654" s="1" t="s">
        <v>4067</v>
      </c>
      <c r="D654" s="2" t="s">
        <v>4068</v>
      </c>
      <c r="E654" s="1" t="s">
        <v>20</v>
      </c>
      <c r="F654" s="1" t="s">
        <v>14</v>
      </c>
      <c r="G654" s="1" t="s">
        <v>15</v>
      </c>
      <c r="H654" s="1" t="s">
        <v>4070</v>
      </c>
      <c r="I654" s="1" t="s">
        <v>4071</v>
      </c>
      <c r="J654" s="2" t="s">
        <v>4072</v>
      </c>
      <c r="K654" s="2" t="s">
        <v>92</v>
      </c>
      <c r="L654" s="2" t="s">
        <v>4069</v>
      </c>
      <c r="M654" s="3" t="str">
        <f>VLOOKUP(G654,справочник!$B$1:$C$94,2,0)</f>
        <v>МСК</v>
      </c>
    </row>
    <row r="655" spans="1:13" ht="42" thickBot="1" x14ac:dyDescent="0.35">
      <c r="A655" s="1" t="s">
        <v>146</v>
      </c>
      <c r="B655" s="1">
        <v>2061</v>
      </c>
      <c r="C655" s="1" t="s">
        <v>4073</v>
      </c>
      <c r="D655" s="2" t="s">
        <v>4074</v>
      </c>
      <c r="E655" s="1" t="s">
        <v>20</v>
      </c>
      <c r="F655" s="1" t="s">
        <v>14</v>
      </c>
      <c r="G655" s="1" t="s">
        <v>15</v>
      </c>
      <c r="H655" s="1" t="s">
        <v>16</v>
      </c>
      <c r="I655" s="1" t="s">
        <v>4075</v>
      </c>
      <c r="J655" s="2" t="s">
        <v>4076</v>
      </c>
      <c r="K655" s="2" t="s">
        <v>4077</v>
      </c>
      <c r="L655" s="2" t="s">
        <v>4078</v>
      </c>
      <c r="M655" s="3" t="str">
        <f>VLOOKUP(G655,справочник!$B$1:$C$94,2,0)</f>
        <v>МСК</v>
      </c>
    </row>
    <row r="656" spans="1:13" ht="42" thickBot="1" x14ac:dyDescent="0.35">
      <c r="A656" s="1" t="s">
        <v>146</v>
      </c>
      <c r="B656" s="1">
        <v>1993</v>
      </c>
      <c r="C656" s="1" t="s">
        <v>4079</v>
      </c>
      <c r="D656" s="2" t="s">
        <v>4080</v>
      </c>
      <c r="E656" s="1" t="s">
        <v>20</v>
      </c>
      <c r="F656" s="1" t="s">
        <v>36</v>
      </c>
      <c r="G656" s="1" t="s">
        <v>330</v>
      </c>
      <c r="H656" s="1" t="s">
        <v>411</v>
      </c>
      <c r="I656" s="1" t="s">
        <v>4082</v>
      </c>
      <c r="J656" s="2" t="s">
        <v>4083</v>
      </c>
      <c r="K656" s="2" t="s">
        <v>4084</v>
      </c>
      <c r="L656" s="2" t="s">
        <v>4081</v>
      </c>
      <c r="M656" s="3" t="str">
        <f>VLOOKUP(G656,справочник!$B$1:$C$94,2,0)</f>
        <v>МСК+5</v>
      </c>
    </row>
    <row r="657" spans="1:13" ht="42" thickBot="1" x14ac:dyDescent="0.35">
      <c r="A657" s="1" t="s">
        <v>146</v>
      </c>
      <c r="B657" s="1">
        <v>2217</v>
      </c>
      <c r="C657" s="1" t="s">
        <v>4085</v>
      </c>
      <c r="D657" s="2" t="s">
        <v>4086</v>
      </c>
      <c r="E657" s="1" t="s">
        <v>20</v>
      </c>
      <c r="F657" s="1" t="s">
        <v>14</v>
      </c>
      <c r="G657" s="1" t="s">
        <v>15</v>
      </c>
      <c r="H657" s="1" t="s">
        <v>16</v>
      </c>
      <c r="I657" s="1" t="s">
        <v>4087</v>
      </c>
      <c r="J657" s="2" t="s">
        <v>4088</v>
      </c>
      <c r="K657" s="2" t="s">
        <v>4089</v>
      </c>
      <c r="L657" s="2" t="s">
        <v>4090</v>
      </c>
      <c r="M657" s="3" t="str">
        <f>VLOOKUP(G657,справочник!$B$1:$C$94,2,0)</f>
        <v>МСК</v>
      </c>
    </row>
    <row r="658" spans="1:13" ht="55.8" thickBot="1" x14ac:dyDescent="0.35">
      <c r="A658" s="1" t="s">
        <v>621</v>
      </c>
      <c r="B658" s="1">
        <v>615</v>
      </c>
      <c r="C658" s="1" t="s">
        <v>4091</v>
      </c>
      <c r="D658" s="2" t="s">
        <v>4092</v>
      </c>
      <c r="E658" s="1" t="s">
        <v>29</v>
      </c>
      <c r="F658" s="1" t="s">
        <v>30</v>
      </c>
      <c r="G658" s="1" t="s">
        <v>31</v>
      </c>
      <c r="H658" s="1" t="s">
        <v>32</v>
      </c>
      <c r="I658" s="1" t="s">
        <v>4094</v>
      </c>
      <c r="J658" s="2" t="s">
        <v>4095</v>
      </c>
      <c r="K658" s="2" t="s">
        <v>4093</v>
      </c>
      <c r="L658" s="2" t="s">
        <v>4096</v>
      </c>
      <c r="M658" s="3" t="str">
        <f>VLOOKUP(G658,справочник!$B$1:$C$94,2,0)</f>
        <v>МСК</v>
      </c>
    </row>
    <row r="659" spans="1:13" ht="55.8" thickBot="1" x14ac:dyDescent="0.35">
      <c r="A659" s="1" t="s">
        <v>12</v>
      </c>
      <c r="B659" s="1">
        <v>921</v>
      </c>
      <c r="C659" s="1" t="s">
        <v>4097</v>
      </c>
      <c r="D659" s="2" t="s">
        <v>4098</v>
      </c>
      <c r="E659" s="1" t="s">
        <v>29</v>
      </c>
      <c r="F659" s="1" t="s">
        <v>14</v>
      </c>
      <c r="G659" s="1" t="s">
        <v>15</v>
      </c>
      <c r="H659" s="1" t="s">
        <v>16</v>
      </c>
      <c r="I659" s="1" t="s">
        <v>3670</v>
      </c>
      <c r="J659" s="2" t="s">
        <v>4100</v>
      </c>
      <c r="K659" s="2" t="s">
        <v>4101</v>
      </c>
      <c r="L659" s="2" t="s">
        <v>4099</v>
      </c>
      <c r="M659" s="3" t="str">
        <f>VLOOKUP(G659,справочник!$B$1:$C$94,2,0)</f>
        <v>МСК</v>
      </c>
    </row>
    <row r="660" spans="1:13" ht="28.2" thickBot="1" x14ac:dyDescent="0.35">
      <c r="A660" s="1" t="s">
        <v>12</v>
      </c>
      <c r="B660" s="1">
        <v>1443</v>
      </c>
      <c r="C660" s="1" t="s">
        <v>4102</v>
      </c>
      <c r="D660" s="2" t="s">
        <v>4103</v>
      </c>
      <c r="E660" s="1" t="s">
        <v>29</v>
      </c>
      <c r="F660" s="1" t="s">
        <v>14</v>
      </c>
      <c r="G660" s="1" t="s">
        <v>15</v>
      </c>
      <c r="H660" s="1" t="s">
        <v>16</v>
      </c>
      <c r="I660" s="1" t="s">
        <v>4104</v>
      </c>
      <c r="J660" s="2" t="s">
        <v>4105</v>
      </c>
      <c r="K660" s="2" t="s">
        <v>4106</v>
      </c>
      <c r="L660" s="2" t="s">
        <v>4107</v>
      </c>
      <c r="M660" s="3" t="str">
        <f>VLOOKUP(G660,справочник!$B$1:$C$94,2,0)</f>
        <v>МСК</v>
      </c>
    </row>
    <row r="661" spans="1:13" ht="28.2" thickBot="1" x14ac:dyDescent="0.35">
      <c r="A661" s="1" t="s">
        <v>12</v>
      </c>
      <c r="B661" s="1">
        <v>7609</v>
      </c>
      <c r="C661" s="1" t="s">
        <v>4108</v>
      </c>
      <c r="D661" s="2" t="s">
        <v>4109</v>
      </c>
      <c r="E661" s="1" t="s">
        <v>29</v>
      </c>
      <c r="F661" s="1" t="s">
        <v>14</v>
      </c>
      <c r="G661" s="1" t="s">
        <v>15</v>
      </c>
      <c r="H661" s="1" t="s">
        <v>16</v>
      </c>
      <c r="I661" s="1" t="s">
        <v>4111</v>
      </c>
      <c r="J661" s="2" t="s">
        <v>4112</v>
      </c>
      <c r="K661" s="2" t="s">
        <v>4113</v>
      </c>
      <c r="L661" s="2" t="s">
        <v>4110</v>
      </c>
      <c r="M661" s="3" t="str">
        <f>VLOOKUP(G661,справочник!$B$1:$C$94,2,0)</f>
        <v>МСК</v>
      </c>
    </row>
    <row r="662" spans="1:13" ht="55.8" thickBot="1" x14ac:dyDescent="0.35">
      <c r="A662" s="1" t="s">
        <v>146</v>
      </c>
      <c r="B662" s="1">
        <v>2703</v>
      </c>
      <c r="C662" s="1" t="s">
        <v>4114</v>
      </c>
      <c r="D662" s="2" t="s">
        <v>4115</v>
      </c>
      <c r="E662" s="1" t="s">
        <v>20</v>
      </c>
      <c r="F662" s="1" t="s">
        <v>14</v>
      </c>
      <c r="G662" s="1" t="s">
        <v>15</v>
      </c>
      <c r="H662" s="1" t="s">
        <v>1764</v>
      </c>
      <c r="I662" s="1" t="s">
        <v>4116</v>
      </c>
      <c r="J662" s="2" t="s">
        <v>4117</v>
      </c>
      <c r="K662" s="2" t="s">
        <v>4118</v>
      </c>
      <c r="L662" s="2" t="s">
        <v>4119</v>
      </c>
      <c r="M662" s="3" t="str">
        <f>VLOOKUP(G662,справочник!$B$1:$C$94,2,0)</f>
        <v>МСК</v>
      </c>
    </row>
    <row r="663" spans="1:13" ht="42" thickBot="1" x14ac:dyDescent="0.35">
      <c r="A663" s="1" t="s">
        <v>146</v>
      </c>
      <c r="B663" s="1">
        <v>94</v>
      </c>
      <c r="C663" s="1" t="s">
        <v>4120</v>
      </c>
      <c r="D663" s="2" t="s">
        <v>4121</v>
      </c>
      <c r="E663" s="1" t="s">
        <v>29</v>
      </c>
      <c r="F663" s="1" t="s">
        <v>222</v>
      </c>
      <c r="G663" s="1" t="s">
        <v>3479</v>
      </c>
      <c r="H663" s="1" t="s">
        <v>3482</v>
      </c>
      <c r="I663" s="1" t="s">
        <v>4122</v>
      </c>
      <c r="J663" s="2" t="s">
        <v>4123</v>
      </c>
      <c r="K663" s="2" t="s">
        <v>4124</v>
      </c>
      <c r="L663" s="2" t="s">
        <v>4125</v>
      </c>
      <c r="M663" s="3" t="str">
        <f>VLOOKUP(G663,справочник!$B$1:$C$94,2,0)</f>
        <v>МСК</v>
      </c>
    </row>
    <row r="664" spans="1:13" ht="42" thickBot="1" x14ac:dyDescent="0.35">
      <c r="A664" s="1" t="s">
        <v>146</v>
      </c>
      <c r="B664" s="1">
        <v>104</v>
      </c>
      <c r="C664" s="1" t="s">
        <v>4126</v>
      </c>
      <c r="D664" s="2" t="s">
        <v>4127</v>
      </c>
      <c r="E664" s="1" t="s">
        <v>29</v>
      </c>
      <c r="F664" s="1" t="s">
        <v>14</v>
      </c>
      <c r="G664" s="1" t="s">
        <v>15</v>
      </c>
      <c r="H664" s="1" t="s">
        <v>16</v>
      </c>
      <c r="I664" s="1" t="s">
        <v>4128</v>
      </c>
      <c r="J664" s="2" t="s">
        <v>3690</v>
      </c>
      <c r="K664" s="2" t="s">
        <v>4129</v>
      </c>
      <c r="L664" s="2" t="s">
        <v>4130</v>
      </c>
      <c r="M664" s="3" t="str">
        <f>VLOOKUP(G664,справочник!$B$1:$C$94,2,0)</f>
        <v>МСК</v>
      </c>
    </row>
    <row r="665" spans="1:13" ht="69.599999999999994" thickBot="1" x14ac:dyDescent="0.35">
      <c r="A665" s="1" t="s">
        <v>146</v>
      </c>
      <c r="B665" s="1">
        <v>48</v>
      </c>
      <c r="C665" s="1" t="s">
        <v>4131</v>
      </c>
      <c r="D665" s="2" t="s">
        <v>4132</v>
      </c>
      <c r="E665" s="1" t="s">
        <v>29</v>
      </c>
      <c r="F665" s="1" t="s">
        <v>14</v>
      </c>
      <c r="G665" s="1" t="s">
        <v>15</v>
      </c>
      <c r="H665" s="1" t="s">
        <v>16</v>
      </c>
      <c r="I665" s="1" t="s">
        <v>4134</v>
      </c>
      <c r="J665" s="2" t="s">
        <v>4135</v>
      </c>
      <c r="K665" s="2" t="s">
        <v>4136</v>
      </c>
      <c r="L665" s="2" t="s">
        <v>4133</v>
      </c>
      <c r="M665" s="3" t="str">
        <f>VLOOKUP(G665,справочник!$B$1:$C$94,2,0)</f>
        <v>МСК</v>
      </c>
    </row>
    <row r="666" spans="1:13" ht="42" thickBot="1" x14ac:dyDescent="0.35">
      <c r="A666" s="1" t="s">
        <v>146</v>
      </c>
      <c r="B666" s="1">
        <v>211</v>
      </c>
      <c r="C666" s="1" t="s">
        <v>4137</v>
      </c>
      <c r="D666" s="2" t="s">
        <v>4138</v>
      </c>
      <c r="E666" s="1" t="s">
        <v>29</v>
      </c>
      <c r="F666" s="1" t="s">
        <v>36</v>
      </c>
      <c r="G666" s="1" t="s">
        <v>2158</v>
      </c>
      <c r="H666" s="1" t="s">
        <v>2159</v>
      </c>
      <c r="I666" s="1" t="s">
        <v>4139</v>
      </c>
      <c r="J666" s="2" t="s">
        <v>4140</v>
      </c>
      <c r="K666" s="2" t="s">
        <v>4141</v>
      </c>
      <c r="L666" s="2" t="s">
        <v>4142</v>
      </c>
      <c r="M666" s="3" t="str">
        <f>VLOOKUP(G666,справочник!$B$1:$C$94,2,0)</f>
        <v>МСК+4</v>
      </c>
    </row>
    <row r="667" spans="1:13" ht="83.4" thickBot="1" x14ac:dyDescent="0.35">
      <c r="A667" s="1" t="s">
        <v>146</v>
      </c>
      <c r="B667" s="1">
        <v>213</v>
      </c>
      <c r="C667" s="1" t="s">
        <v>4143</v>
      </c>
      <c r="D667" s="2" t="s">
        <v>4144</v>
      </c>
      <c r="E667" s="1" t="s">
        <v>29</v>
      </c>
      <c r="F667" s="1" t="s">
        <v>36</v>
      </c>
      <c r="G667" s="1" t="s">
        <v>2158</v>
      </c>
      <c r="H667" s="1" t="s">
        <v>2159</v>
      </c>
      <c r="I667" s="1" t="s">
        <v>4145</v>
      </c>
      <c r="J667" s="2" t="s">
        <v>4146</v>
      </c>
      <c r="K667" s="2" t="s">
        <v>4147</v>
      </c>
      <c r="L667" s="2" t="s">
        <v>4148</v>
      </c>
      <c r="M667" s="3" t="str">
        <f>VLOOKUP(G667,справочник!$B$1:$C$94,2,0)</f>
        <v>МСК+4</v>
      </c>
    </row>
    <row r="668" spans="1:13" ht="28.2" thickBot="1" x14ac:dyDescent="0.35">
      <c r="A668" s="1" t="s">
        <v>83</v>
      </c>
      <c r="B668" s="1">
        <v>711</v>
      </c>
      <c r="C668" s="1" t="s">
        <v>4149</v>
      </c>
      <c r="D668" s="2" t="s">
        <v>4150</v>
      </c>
      <c r="E668" s="1" t="s">
        <v>29</v>
      </c>
      <c r="F668" s="1" t="s">
        <v>14</v>
      </c>
      <c r="G668" s="1" t="s">
        <v>15</v>
      </c>
      <c r="H668" s="1" t="s">
        <v>16</v>
      </c>
      <c r="I668" s="1" t="s">
        <v>4151</v>
      </c>
      <c r="J668" s="2" t="s">
        <v>4152</v>
      </c>
      <c r="K668" s="2" t="s">
        <v>4153</v>
      </c>
      <c r="L668" s="2" t="s">
        <v>4154</v>
      </c>
      <c r="M668" s="3" t="str">
        <f>VLOOKUP(G668,справочник!$B$1:$C$94,2,0)</f>
        <v>МСК</v>
      </c>
    </row>
    <row r="669" spans="1:13" ht="42" thickBot="1" x14ac:dyDescent="0.35">
      <c r="A669" s="1" t="s">
        <v>146</v>
      </c>
      <c r="B669" s="1">
        <v>101</v>
      </c>
      <c r="C669" s="1" t="s">
        <v>4155</v>
      </c>
      <c r="D669" s="2" t="s">
        <v>4156</v>
      </c>
      <c r="E669" s="1" t="s">
        <v>29</v>
      </c>
      <c r="F669" s="1" t="s">
        <v>14</v>
      </c>
      <c r="G669" s="1" t="s">
        <v>15</v>
      </c>
      <c r="H669" s="1" t="s">
        <v>4158</v>
      </c>
      <c r="I669" s="1" t="s">
        <v>4159</v>
      </c>
      <c r="J669" s="2" t="s">
        <v>4160</v>
      </c>
      <c r="K669" s="2" t="s">
        <v>4161</v>
      </c>
      <c r="L669" s="2" t="s">
        <v>4157</v>
      </c>
      <c r="M669" s="3" t="str">
        <f>VLOOKUP(G669,справочник!$B$1:$C$94,2,0)</f>
        <v>МСК</v>
      </c>
    </row>
    <row r="670" spans="1:13" ht="42" thickBot="1" x14ac:dyDescent="0.35">
      <c r="A670" s="1" t="s">
        <v>146</v>
      </c>
      <c r="B670" s="1">
        <v>117</v>
      </c>
      <c r="C670" s="1" t="s">
        <v>4162</v>
      </c>
      <c r="D670" s="2" t="s">
        <v>4163</v>
      </c>
      <c r="E670" s="1" t="s">
        <v>29</v>
      </c>
      <c r="F670" s="1" t="s">
        <v>14</v>
      </c>
      <c r="G670" s="1" t="s">
        <v>15</v>
      </c>
      <c r="H670" s="1" t="s">
        <v>16</v>
      </c>
      <c r="I670" s="1" t="s">
        <v>4164</v>
      </c>
      <c r="J670" s="2" t="s">
        <v>4165</v>
      </c>
      <c r="K670" s="2" t="s">
        <v>4166</v>
      </c>
      <c r="L670" s="2" t="s">
        <v>4167</v>
      </c>
      <c r="M670" s="3" t="str">
        <f>VLOOKUP(G670,справочник!$B$1:$C$94,2,0)</f>
        <v>МСК</v>
      </c>
    </row>
    <row r="671" spans="1:13" ht="42" thickBot="1" x14ac:dyDescent="0.35">
      <c r="A671" s="1" t="s">
        <v>146</v>
      </c>
      <c r="B671" s="1">
        <v>173</v>
      </c>
      <c r="C671" s="1" t="s">
        <v>4168</v>
      </c>
      <c r="D671" s="2" t="s">
        <v>4169</v>
      </c>
      <c r="E671" s="1" t="s">
        <v>29</v>
      </c>
      <c r="F671" s="1" t="s">
        <v>30</v>
      </c>
      <c r="G671" s="1" t="s">
        <v>31</v>
      </c>
      <c r="H671" s="1" t="s">
        <v>32</v>
      </c>
      <c r="I671" s="1" t="s">
        <v>4170</v>
      </c>
      <c r="J671" s="2" t="s">
        <v>2414</v>
      </c>
      <c r="K671" s="2" t="s">
        <v>4171</v>
      </c>
      <c r="L671" s="2" t="s">
        <v>4172</v>
      </c>
      <c r="M671" s="3" t="str">
        <f>VLOOKUP(G671,справочник!$B$1:$C$94,2,0)</f>
        <v>МСК</v>
      </c>
    </row>
    <row r="672" spans="1:13" ht="42" thickBot="1" x14ac:dyDescent="0.35">
      <c r="A672" s="1" t="s">
        <v>83</v>
      </c>
      <c r="B672" s="1">
        <v>3585</v>
      </c>
      <c r="C672" s="1" t="s">
        <v>4173</v>
      </c>
      <c r="D672" s="2" t="s">
        <v>4174</v>
      </c>
      <c r="E672" s="1" t="s">
        <v>20</v>
      </c>
      <c r="F672" s="1" t="s">
        <v>14</v>
      </c>
      <c r="G672" s="1" t="s">
        <v>15</v>
      </c>
      <c r="H672" s="1" t="s">
        <v>16</v>
      </c>
      <c r="I672" s="1" t="s">
        <v>4175</v>
      </c>
      <c r="J672" s="2" t="s">
        <v>974</v>
      </c>
      <c r="K672" s="2" t="s">
        <v>4176</v>
      </c>
      <c r="L672" s="2" t="s">
        <v>4177</v>
      </c>
      <c r="M672" s="3" t="str">
        <f>VLOOKUP(G672,справочник!$B$1:$C$94,2,0)</f>
        <v>МСК</v>
      </c>
    </row>
    <row r="673" spans="1:13" ht="42" thickBot="1" x14ac:dyDescent="0.35">
      <c r="A673" s="1" t="s">
        <v>131</v>
      </c>
      <c r="B673" s="1">
        <v>3444</v>
      </c>
      <c r="C673" s="1" t="s">
        <v>4178</v>
      </c>
      <c r="D673" s="2" t="s">
        <v>4179</v>
      </c>
      <c r="E673" s="1" t="s">
        <v>20</v>
      </c>
      <c r="F673" s="1" t="s">
        <v>14</v>
      </c>
      <c r="G673" s="1" t="s">
        <v>15</v>
      </c>
      <c r="H673" s="1" t="s">
        <v>16</v>
      </c>
      <c r="I673" s="1" t="s">
        <v>4181</v>
      </c>
      <c r="J673" s="2" t="s">
        <v>4182</v>
      </c>
      <c r="K673" s="2" t="s">
        <v>4183</v>
      </c>
      <c r="L673" s="2" t="s">
        <v>4180</v>
      </c>
      <c r="M673" s="3" t="str">
        <f>VLOOKUP(G673,справочник!$B$1:$C$94,2,0)</f>
        <v>МСК</v>
      </c>
    </row>
    <row r="674" spans="1:13" ht="42" thickBot="1" x14ac:dyDescent="0.35">
      <c r="A674" s="1" t="s">
        <v>146</v>
      </c>
      <c r="B674" s="1">
        <v>120</v>
      </c>
      <c r="C674" s="1" t="s">
        <v>4184</v>
      </c>
      <c r="D674" s="2" t="s">
        <v>4185</v>
      </c>
      <c r="E674" s="1" t="s">
        <v>29</v>
      </c>
      <c r="F674" s="1" t="s">
        <v>14</v>
      </c>
      <c r="G674" s="1" t="s">
        <v>15</v>
      </c>
      <c r="H674" s="1" t="s">
        <v>16</v>
      </c>
      <c r="I674" s="1" t="s">
        <v>4186</v>
      </c>
      <c r="J674" s="2" t="s">
        <v>4187</v>
      </c>
      <c r="K674" s="2" t="s">
        <v>4188</v>
      </c>
      <c r="L674" s="2" t="s">
        <v>4189</v>
      </c>
      <c r="M674" s="3" t="str">
        <f>VLOOKUP(G674,справочник!$B$1:$C$94,2,0)</f>
        <v>МСК</v>
      </c>
    </row>
    <row r="675" spans="1:13" ht="28.2" thickBot="1" x14ac:dyDescent="0.35">
      <c r="A675" s="1" t="s">
        <v>131</v>
      </c>
      <c r="B675" s="1">
        <v>3570</v>
      </c>
      <c r="C675" s="1" t="s">
        <v>4190</v>
      </c>
      <c r="D675" s="2" t="s">
        <v>4191</v>
      </c>
      <c r="E675" s="1" t="s">
        <v>104</v>
      </c>
      <c r="F675" s="1" t="s">
        <v>14</v>
      </c>
      <c r="G675" s="1" t="s">
        <v>15</v>
      </c>
      <c r="H675" s="1" t="s">
        <v>16</v>
      </c>
      <c r="I675" s="1" t="s">
        <v>4192</v>
      </c>
      <c r="J675" s="2" t="s">
        <v>922</v>
      </c>
      <c r="K675" s="2" t="s">
        <v>4193</v>
      </c>
      <c r="L675" s="2" t="s">
        <v>4194</v>
      </c>
      <c r="M675" s="3" t="str">
        <f>VLOOKUP(G675,справочник!$B$1:$C$94,2,0)</f>
        <v>МСК</v>
      </c>
    </row>
    <row r="676" spans="1:13" ht="69.599999999999994" thickBot="1" x14ac:dyDescent="0.35">
      <c r="A676" s="1" t="s">
        <v>131</v>
      </c>
      <c r="B676" s="1">
        <v>3481</v>
      </c>
      <c r="C676" s="1" t="s">
        <v>4195</v>
      </c>
      <c r="D676" s="2" t="s">
        <v>4196</v>
      </c>
      <c r="E676" s="1" t="s">
        <v>104</v>
      </c>
      <c r="F676" s="1" t="s">
        <v>14</v>
      </c>
      <c r="G676" s="1" t="s">
        <v>15</v>
      </c>
      <c r="H676" s="1" t="s">
        <v>16</v>
      </c>
      <c r="I676" s="1" t="s">
        <v>4197</v>
      </c>
      <c r="J676" s="2" t="s">
        <v>4198</v>
      </c>
      <c r="K676" s="2" t="s">
        <v>4199</v>
      </c>
      <c r="L676" s="2" t="s">
        <v>4200</v>
      </c>
      <c r="M676" s="3" t="str">
        <f>VLOOKUP(G676,справочник!$B$1:$C$94,2,0)</f>
        <v>МСК</v>
      </c>
    </row>
    <row r="677" spans="1:13" ht="69.599999999999994" thickBot="1" x14ac:dyDescent="0.35">
      <c r="A677" s="1" t="s">
        <v>131</v>
      </c>
      <c r="B677" s="1">
        <v>3629</v>
      </c>
      <c r="C677" s="1" t="s">
        <v>4201</v>
      </c>
      <c r="D677" s="2" t="s">
        <v>4202</v>
      </c>
      <c r="E677" s="1" t="s">
        <v>20</v>
      </c>
      <c r="F677" s="1" t="s">
        <v>14</v>
      </c>
      <c r="G677" s="1" t="s">
        <v>15</v>
      </c>
      <c r="H677" s="1" t="s">
        <v>16</v>
      </c>
      <c r="I677" s="1" t="s">
        <v>4203</v>
      </c>
      <c r="J677" s="2" t="s">
        <v>3575</v>
      </c>
      <c r="K677" s="2" t="s">
        <v>4204</v>
      </c>
      <c r="L677" s="2" t="s">
        <v>4205</v>
      </c>
      <c r="M677" s="3" t="str">
        <f>VLOOKUP(G677,справочник!$B$1:$C$94,2,0)</f>
        <v>МСК</v>
      </c>
    </row>
    <row r="678" spans="1:13" ht="55.8" thickBot="1" x14ac:dyDescent="0.35">
      <c r="A678" s="1" t="s">
        <v>131</v>
      </c>
      <c r="B678" s="1">
        <v>3265</v>
      </c>
      <c r="C678" s="1" t="s">
        <v>4206</v>
      </c>
      <c r="D678" s="2" t="s">
        <v>4207</v>
      </c>
      <c r="E678" s="1" t="s">
        <v>20</v>
      </c>
      <c r="F678" s="1" t="s">
        <v>14</v>
      </c>
      <c r="G678" s="1" t="s">
        <v>15</v>
      </c>
      <c r="H678" s="1" t="s">
        <v>16</v>
      </c>
      <c r="I678" s="1" t="s">
        <v>4208</v>
      </c>
      <c r="J678" s="2" t="s">
        <v>4209</v>
      </c>
      <c r="K678" s="2" t="s">
        <v>4210</v>
      </c>
      <c r="L678" s="2" t="s">
        <v>4211</v>
      </c>
      <c r="M678" s="3" t="str">
        <f>VLOOKUP(G678,справочник!$B$1:$C$94,2,0)</f>
        <v>МСК</v>
      </c>
    </row>
    <row r="679" spans="1:13" ht="42" thickBot="1" x14ac:dyDescent="0.35">
      <c r="A679" s="1" t="s">
        <v>131</v>
      </c>
      <c r="B679" s="1">
        <v>3911</v>
      </c>
      <c r="C679" s="1" t="s">
        <v>4212</v>
      </c>
      <c r="D679" s="2" t="s">
        <v>4213</v>
      </c>
      <c r="E679" s="1" t="s">
        <v>104</v>
      </c>
      <c r="F679" s="1" t="s">
        <v>14</v>
      </c>
      <c r="G679" s="1" t="s">
        <v>15</v>
      </c>
      <c r="H679" s="1" t="s">
        <v>16</v>
      </c>
      <c r="I679" s="1" t="s">
        <v>4214</v>
      </c>
      <c r="J679" s="2" t="s">
        <v>232</v>
      </c>
      <c r="K679" s="2" t="s">
        <v>4215</v>
      </c>
      <c r="L679" s="2" t="s">
        <v>4216</v>
      </c>
      <c r="M679" s="3" t="str">
        <f>VLOOKUP(G679,справочник!$B$1:$C$94,2,0)</f>
        <v>МСК</v>
      </c>
    </row>
    <row r="680" spans="1:13" ht="42" thickBot="1" x14ac:dyDescent="0.35">
      <c r="A680" s="1" t="s">
        <v>131</v>
      </c>
      <c r="B680" s="1">
        <v>3457</v>
      </c>
      <c r="C680" s="1" t="s">
        <v>4217</v>
      </c>
      <c r="D680" s="2" t="s">
        <v>4218</v>
      </c>
      <c r="E680" s="1" t="s">
        <v>104</v>
      </c>
      <c r="F680" s="1" t="s">
        <v>14</v>
      </c>
      <c r="G680" s="1" t="s">
        <v>15</v>
      </c>
      <c r="H680" s="1" t="s">
        <v>16</v>
      </c>
      <c r="I680" s="1" t="s">
        <v>4219</v>
      </c>
      <c r="J680" s="2" t="s">
        <v>4220</v>
      </c>
      <c r="K680" s="2" t="s">
        <v>4221</v>
      </c>
      <c r="L680" s="2" t="s">
        <v>4222</v>
      </c>
      <c r="M680" s="3" t="str">
        <f>VLOOKUP(G680,справочник!$B$1:$C$94,2,0)</f>
        <v>МСК</v>
      </c>
    </row>
    <row r="681" spans="1:13" ht="28.2" thickBot="1" x14ac:dyDescent="0.35">
      <c r="A681" s="1" t="s">
        <v>131</v>
      </c>
      <c r="B681" s="1">
        <v>3442</v>
      </c>
      <c r="C681" s="1" t="s">
        <v>4223</v>
      </c>
      <c r="D681" s="2" t="s">
        <v>4224</v>
      </c>
      <c r="E681" s="1" t="s">
        <v>104</v>
      </c>
      <c r="F681" s="1" t="s">
        <v>14</v>
      </c>
      <c r="G681" s="1" t="s">
        <v>15</v>
      </c>
      <c r="H681" s="1" t="s">
        <v>16</v>
      </c>
      <c r="I681" s="1" t="s">
        <v>4225</v>
      </c>
      <c r="J681" s="2" t="s">
        <v>4226</v>
      </c>
      <c r="K681" s="2" t="s">
        <v>4227</v>
      </c>
      <c r="L681" s="2" t="s">
        <v>4228</v>
      </c>
      <c r="M681" s="3" t="str">
        <f>VLOOKUP(G681,справочник!$B$1:$C$94,2,0)</f>
        <v>МСК</v>
      </c>
    </row>
    <row r="682" spans="1:13" ht="42" thickBot="1" x14ac:dyDescent="0.35">
      <c r="A682" s="1" t="s">
        <v>131</v>
      </c>
      <c r="B682" s="1">
        <v>3443</v>
      </c>
      <c r="C682" s="1" t="s">
        <v>4229</v>
      </c>
      <c r="D682" s="2" t="s">
        <v>4230</v>
      </c>
      <c r="E682" s="1" t="s">
        <v>20</v>
      </c>
      <c r="F682" s="1" t="s">
        <v>36</v>
      </c>
      <c r="G682" s="1" t="s">
        <v>1181</v>
      </c>
      <c r="H682" s="1" t="s">
        <v>1710</v>
      </c>
      <c r="I682" s="1" t="s">
        <v>4231</v>
      </c>
      <c r="J682" s="2" t="s">
        <v>4232</v>
      </c>
      <c r="K682" s="2" t="s">
        <v>4233</v>
      </c>
      <c r="L682" s="2" t="s">
        <v>4234</v>
      </c>
      <c r="M682" s="3" t="str">
        <f>VLOOKUP(G682,справочник!$B$1:$C$94,2,0)</f>
        <v>МСК+4</v>
      </c>
    </row>
    <row r="683" spans="1:13" ht="42" thickBot="1" x14ac:dyDescent="0.35">
      <c r="A683" s="1" t="s">
        <v>131</v>
      </c>
      <c r="B683" s="1">
        <v>3303</v>
      </c>
      <c r="C683" s="1" t="s">
        <v>4235</v>
      </c>
      <c r="D683" s="2" t="s">
        <v>4236</v>
      </c>
      <c r="E683" s="1" t="s">
        <v>104</v>
      </c>
      <c r="F683" s="1" t="s">
        <v>30</v>
      </c>
      <c r="G683" s="1" t="s">
        <v>31</v>
      </c>
      <c r="H683" s="1" t="s">
        <v>32</v>
      </c>
      <c r="I683" s="1" t="s">
        <v>4237</v>
      </c>
      <c r="J683" s="2" t="s">
        <v>4238</v>
      </c>
      <c r="K683" s="2" t="s">
        <v>4239</v>
      </c>
      <c r="L683" s="2" t="s">
        <v>4240</v>
      </c>
      <c r="M683" s="3" t="str">
        <f>VLOOKUP(G683,справочник!$B$1:$C$94,2,0)</f>
        <v>МСК</v>
      </c>
    </row>
    <row r="684" spans="1:13" ht="55.8" thickBot="1" x14ac:dyDescent="0.35">
      <c r="A684" s="1" t="s">
        <v>131</v>
      </c>
      <c r="B684" s="1">
        <v>3409</v>
      </c>
      <c r="C684" s="1" t="s">
        <v>4241</v>
      </c>
      <c r="D684" s="2" t="s">
        <v>4242</v>
      </c>
      <c r="E684" s="1" t="s">
        <v>20</v>
      </c>
      <c r="F684" s="1" t="s">
        <v>14</v>
      </c>
      <c r="G684" s="1" t="s">
        <v>15</v>
      </c>
      <c r="H684" s="1" t="s">
        <v>16</v>
      </c>
      <c r="I684" s="1" t="s">
        <v>4243</v>
      </c>
      <c r="J684" s="2" t="s">
        <v>878</v>
      </c>
      <c r="K684" s="2" t="s">
        <v>4244</v>
      </c>
      <c r="L684" s="2" t="s">
        <v>4245</v>
      </c>
      <c r="M684" s="3" t="str">
        <f>VLOOKUP(G684,справочник!$B$1:$C$94,2,0)</f>
        <v>МСК</v>
      </c>
    </row>
    <row r="685" spans="1:13" ht="42" thickBot="1" x14ac:dyDescent="0.35">
      <c r="A685" s="1" t="s">
        <v>131</v>
      </c>
      <c r="B685" s="1">
        <v>3787</v>
      </c>
      <c r="C685" s="1" t="s">
        <v>4246</v>
      </c>
      <c r="D685" s="2" t="s">
        <v>4247</v>
      </c>
      <c r="E685" s="1" t="s">
        <v>20</v>
      </c>
      <c r="F685" s="1" t="s">
        <v>14</v>
      </c>
      <c r="G685" s="1" t="s">
        <v>15</v>
      </c>
      <c r="H685" s="1" t="s">
        <v>16</v>
      </c>
      <c r="I685" s="1" t="s">
        <v>4249</v>
      </c>
      <c r="J685" s="2" t="s">
        <v>4250</v>
      </c>
      <c r="K685" s="2" t="s">
        <v>4251</v>
      </c>
      <c r="L685" s="2" t="s">
        <v>4248</v>
      </c>
      <c r="M685" s="3" t="str">
        <f>VLOOKUP(G685,справочник!$B$1:$C$94,2,0)</f>
        <v>МСК</v>
      </c>
    </row>
    <row r="686" spans="1:13" ht="42" thickBot="1" x14ac:dyDescent="0.35">
      <c r="A686" s="1" t="s">
        <v>131</v>
      </c>
      <c r="B686" s="1">
        <v>3439</v>
      </c>
      <c r="C686" s="1" t="s">
        <v>4252</v>
      </c>
      <c r="D686" s="2" t="s">
        <v>4253</v>
      </c>
      <c r="E686" s="1" t="s">
        <v>104</v>
      </c>
      <c r="F686" s="1" t="s">
        <v>14</v>
      </c>
      <c r="G686" s="1" t="s">
        <v>15</v>
      </c>
      <c r="H686" s="1" t="s">
        <v>16</v>
      </c>
      <c r="I686" s="1" t="s">
        <v>4254</v>
      </c>
      <c r="J686" s="2" t="s">
        <v>1906</v>
      </c>
      <c r="K686" s="2" t="s">
        <v>4255</v>
      </c>
      <c r="L686" s="2" t="s">
        <v>4256</v>
      </c>
      <c r="M686" s="3" t="str">
        <f>VLOOKUP(G686,справочник!$B$1:$C$94,2,0)</f>
        <v>МСК</v>
      </c>
    </row>
    <row r="687" spans="1:13" ht="28.2" thickBot="1" x14ac:dyDescent="0.35">
      <c r="A687" s="1" t="s">
        <v>131</v>
      </c>
      <c r="B687" s="1">
        <v>3458</v>
      </c>
      <c r="C687" s="1" t="s">
        <v>4257</v>
      </c>
      <c r="D687" s="2" t="s">
        <v>4258</v>
      </c>
      <c r="E687" s="1" t="s">
        <v>20</v>
      </c>
      <c r="F687" s="1" t="s">
        <v>21</v>
      </c>
      <c r="G687" s="1" t="s">
        <v>22</v>
      </c>
      <c r="H687" s="1" t="s">
        <v>23</v>
      </c>
      <c r="I687" s="1" t="s">
        <v>4260</v>
      </c>
      <c r="J687" s="2" t="s">
        <v>4261</v>
      </c>
      <c r="K687" s="2" t="s">
        <v>4262</v>
      </c>
      <c r="L687" s="2" t="s">
        <v>4259</v>
      </c>
      <c r="M687" s="3" t="str">
        <f>VLOOKUP(G687,справочник!$B$1:$C$94,2,0)</f>
        <v>МСК</v>
      </c>
    </row>
    <row r="688" spans="1:13" ht="42" thickBot="1" x14ac:dyDescent="0.35">
      <c r="A688" s="1" t="s">
        <v>131</v>
      </c>
      <c r="B688" s="1">
        <v>2557</v>
      </c>
      <c r="C688" s="1" t="s">
        <v>4263</v>
      </c>
      <c r="D688" s="2" t="s">
        <v>4264</v>
      </c>
      <c r="E688" s="1" t="s">
        <v>20</v>
      </c>
      <c r="F688" s="1" t="s">
        <v>14</v>
      </c>
      <c r="G688" s="1" t="s">
        <v>15</v>
      </c>
      <c r="H688" s="1" t="s">
        <v>16</v>
      </c>
      <c r="I688" s="1" t="s">
        <v>1247</v>
      </c>
      <c r="J688" s="2" t="s">
        <v>4265</v>
      </c>
      <c r="K688" s="2" t="s">
        <v>4266</v>
      </c>
      <c r="L688" s="2" t="s">
        <v>4267</v>
      </c>
      <c r="M688" s="3" t="str">
        <f>VLOOKUP(G688,справочник!$B$1:$C$94,2,0)</f>
        <v>МСК</v>
      </c>
    </row>
    <row r="689" spans="1:13" ht="42" thickBot="1" x14ac:dyDescent="0.35">
      <c r="A689" s="1" t="s">
        <v>1237</v>
      </c>
      <c r="B689" s="1">
        <v>3407</v>
      </c>
      <c r="C689" s="1" t="s">
        <v>4268</v>
      </c>
      <c r="D689" s="2" t="s">
        <v>4269</v>
      </c>
      <c r="E689" s="1" t="s">
        <v>104</v>
      </c>
      <c r="F689" s="1" t="s">
        <v>14</v>
      </c>
      <c r="G689" s="1" t="s">
        <v>15</v>
      </c>
      <c r="H689" s="1" t="s">
        <v>16</v>
      </c>
      <c r="I689" s="1" t="s">
        <v>4270</v>
      </c>
      <c r="J689" s="2" t="s">
        <v>4271</v>
      </c>
      <c r="K689" s="2" t="s">
        <v>4272</v>
      </c>
      <c r="L689" s="2" t="s">
        <v>4273</v>
      </c>
      <c r="M689" s="3" t="str">
        <f>VLOOKUP(G689,справочник!$B$1:$C$94,2,0)</f>
        <v>МСК</v>
      </c>
    </row>
    <row r="690" spans="1:13" ht="69.599999999999994" thickBot="1" x14ac:dyDescent="0.35">
      <c r="A690" s="1" t="s">
        <v>131</v>
      </c>
      <c r="B690" s="1">
        <v>3260</v>
      </c>
      <c r="C690" s="1" t="s">
        <v>4274</v>
      </c>
      <c r="D690" s="2" t="s">
        <v>4275</v>
      </c>
      <c r="E690" s="1" t="s">
        <v>13</v>
      </c>
      <c r="F690" s="1" t="s">
        <v>30</v>
      </c>
      <c r="G690" s="1" t="s">
        <v>31</v>
      </c>
      <c r="H690" s="1" t="s">
        <v>32</v>
      </c>
      <c r="I690" s="1" t="s">
        <v>4278</v>
      </c>
      <c r="J690" s="2" t="s">
        <v>4279</v>
      </c>
      <c r="K690" s="2" t="s">
        <v>4276</v>
      </c>
      <c r="L690" s="2" t="s">
        <v>4277</v>
      </c>
      <c r="M690" s="3" t="str">
        <f>VLOOKUP(G690,справочник!$B$1:$C$94,2,0)</f>
        <v>МСК</v>
      </c>
    </row>
    <row r="691" spans="1:13" ht="42" thickBot="1" x14ac:dyDescent="0.35">
      <c r="A691" s="1" t="s">
        <v>131</v>
      </c>
      <c r="B691" s="1">
        <v>3401</v>
      </c>
      <c r="C691" s="1" t="s">
        <v>4280</v>
      </c>
      <c r="D691" s="2" t="s">
        <v>4281</v>
      </c>
      <c r="E691" s="1" t="s">
        <v>20</v>
      </c>
      <c r="F691" s="1" t="s">
        <v>14</v>
      </c>
      <c r="G691" s="1" t="s">
        <v>2527</v>
      </c>
      <c r="H691" s="1" t="s">
        <v>4283</v>
      </c>
      <c r="I691" s="1" t="s">
        <v>4284</v>
      </c>
      <c r="J691" s="2" t="s">
        <v>4285</v>
      </c>
      <c r="K691" s="2" t="s">
        <v>4286</v>
      </c>
      <c r="L691" s="2" t="s">
        <v>4282</v>
      </c>
      <c r="M691" s="3" t="str">
        <f>VLOOKUP(G691,справочник!$B$1:$C$94,2,0)</f>
        <v>МСК</v>
      </c>
    </row>
    <row r="692" spans="1:13" ht="42" thickBot="1" x14ac:dyDescent="0.35">
      <c r="A692" s="1" t="s">
        <v>131</v>
      </c>
      <c r="B692" s="1">
        <v>3601</v>
      </c>
      <c r="C692" s="1" t="s">
        <v>4287</v>
      </c>
      <c r="D692" s="2" t="s">
        <v>4288</v>
      </c>
      <c r="E692" s="1" t="s">
        <v>104</v>
      </c>
      <c r="F692" s="1" t="s">
        <v>14</v>
      </c>
      <c r="G692" s="1" t="s">
        <v>15</v>
      </c>
      <c r="H692" s="1" t="s">
        <v>15</v>
      </c>
      <c r="I692" s="1" t="s">
        <v>4289</v>
      </c>
      <c r="J692" s="2" t="s">
        <v>4290</v>
      </c>
      <c r="K692" s="2" t="s">
        <v>4291</v>
      </c>
      <c r="L692" s="2" t="s">
        <v>4292</v>
      </c>
      <c r="M692" s="3" t="str">
        <f>VLOOKUP(G692,справочник!$B$1:$C$94,2,0)</f>
        <v>МСК</v>
      </c>
    </row>
    <row r="693" spans="1:13" ht="42" thickBot="1" x14ac:dyDescent="0.35">
      <c r="A693" s="1" t="s">
        <v>131</v>
      </c>
      <c r="B693" s="1">
        <v>3392</v>
      </c>
      <c r="C693" s="1" t="s">
        <v>4293</v>
      </c>
      <c r="D693" s="2" t="s">
        <v>4294</v>
      </c>
      <c r="E693" s="1" t="s">
        <v>104</v>
      </c>
      <c r="F693" s="1" t="s">
        <v>14</v>
      </c>
      <c r="G693" s="1" t="s">
        <v>15</v>
      </c>
      <c r="H693" s="1" t="s">
        <v>16</v>
      </c>
      <c r="I693" s="1" t="s">
        <v>4295</v>
      </c>
      <c r="J693" s="2" t="s">
        <v>4296</v>
      </c>
      <c r="K693" s="2" t="s">
        <v>4297</v>
      </c>
      <c r="L693" s="2" t="s">
        <v>4298</v>
      </c>
      <c r="M693" s="3" t="str">
        <f>VLOOKUP(G693,справочник!$B$1:$C$94,2,0)</f>
        <v>МСК</v>
      </c>
    </row>
    <row r="694" spans="1:13" ht="42" thickBot="1" x14ac:dyDescent="0.35">
      <c r="A694" s="1" t="s">
        <v>131</v>
      </c>
      <c r="B694" s="1">
        <v>3641</v>
      </c>
      <c r="C694" s="1" t="s">
        <v>4299</v>
      </c>
      <c r="D694" s="2" t="s">
        <v>4300</v>
      </c>
      <c r="E694" s="1" t="s">
        <v>104</v>
      </c>
      <c r="F694" s="1" t="s">
        <v>14</v>
      </c>
      <c r="G694" s="1" t="s">
        <v>15</v>
      </c>
      <c r="H694" s="1" t="s">
        <v>16</v>
      </c>
      <c r="I694" s="1" t="s">
        <v>4301</v>
      </c>
      <c r="J694" s="2" t="s">
        <v>2909</v>
      </c>
      <c r="K694" s="2" t="s">
        <v>4302</v>
      </c>
      <c r="L694" s="2" t="s">
        <v>4303</v>
      </c>
      <c r="M694" s="3" t="str">
        <f>VLOOKUP(G694,справочник!$B$1:$C$94,2,0)</f>
        <v>МСК</v>
      </c>
    </row>
    <row r="695" spans="1:13" ht="55.8" thickBot="1" x14ac:dyDescent="0.35">
      <c r="A695" s="1" t="s">
        <v>131</v>
      </c>
      <c r="B695" s="1">
        <v>3427</v>
      </c>
      <c r="C695" s="1" t="s">
        <v>4304</v>
      </c>
      <c r="D695" s="2" t="s">
        <v>4305</v>
      </c>
      <c r="E695" s="1" t="s">
        <v>20</v>
      </c>
      <c r="F695" s="1" t="s">
        <v>47</v>
      </c>
      <c r="G695" s="1" t="s">
        <v>3183</v>
      </c>
      <c r="H695" s="1" t="s">
        <v>3184</v>
      </c>
      <c r="I695" s="1" t="s">
        <v>4307</v>
      </c>
      <c r="J695" s="2" t="s">
        <v>4308</v>
      </c>
      <c r="K695" s="2" t="s">
        <v>4309</v>
      </c>
      <c r="L695" s="2" t="s">
        <v>4306</v>
      </c>
      <c r="M695" s="3" t="str">
        <f>VLOOKUP(G695,справочник!$B$1:$C$94,2,0)</f>
        <v>МСК+2</v>
      </c>
    </row>
    <row r="696" spans="1:13" ht="55.8" thickBot="1" x14ac:dyDescent="0.35">
      <c r="A696" s="1" t="s">
        <v>131</v>
      </c>
      <c r="B696" s="1">
        <v>3982</v>
      </c>
      <c r="C696" s="1" t="s">
        <v>4310</v>
      </c>
      <c r="D696" s="2" t="s">
        <v>4311</v>
      </c>
      <c r="E696" s="1" t="s">
        <v>104</v>
      </c>
      <c r="F696" s="1" t="s">
        <v>14</v>
      </c>
      <c r="G696" s="1" t="s">
        <v>15</v>
      </c>
      <c r="H696" s="1" t="s">
        <v>16</v>
      </c>
      <c r="I696" s="1" t="s">
        <v>4312</v>
      </c>
      <c r="J696" s="2" t="s">
        <v>4313</v>
      </c>
      <c r="K696" s="2" t="s">
        <v>4314</v>
      </c>
      <c r="L696" s="2" t="s">
        <v>4315</v>
      </c>
      <c r="M696" s="3" t="str">
        <f>VLOOKUP(G696,справочник!$B$1:$C$94,2,0)</f>
        <v>МСК</v>
      </c>
    </row>
    <row r="697" spans="1:13" ht="42" thickBot="1" x14ac:dyDescent="0.35">
      <c r="A697" s="1" t="s">
        <v>131</v>
      </c>
      <c r="B697" s="1">
        <v>3433</v>
      </c>
      <c r="C697" s="1" t="s">
        <v>4316</v>
      </c>
      <c r="D697" s="2" t="s">
        <v>4317</v>
      </c>
      <c r="E697" s="1" t="s">
        <v>104</v>
      </c>
      <c r="F697" s="1" t="s">
        <v>30</v>
      </c>
      <c r="G697" s="1" t="s">
        <v>31</v>
      </c>
      <c r="H697" s="1" t="s">
        <v>32</v>
      </c>
      <c r="I697" s="1" t="s">
        <v>4319</v>
      </c>
      <c r="J697" s="2" t="s">
        <v>4320</v>
      </c>
      <c r="K697" s="2" t="s">
        <v>4321</v>
      </c>
      <c r="L697" s="2" t="s">
        <v>4318</v>
      </c>
      <c r="M697" s="3" t="str">
        <f>VLOOKUP(G697,справочник!$B$1:$C$94,2,0)</f>
        <v>МСК</v>
      </c>
    </row>
    <row r="698" spans="1:13" ht="55.8" thickBot="1" x14ac:dyDescent="0.35">
      <c r="A698" s="1" t="s">
        <v>131</v>
      </c>
      <c r="B698" s="1">
        <v>3431</v>
      </c>
      <c r="C698" s="1" t="s">
        <v>4322</v>
      </c>
      <c r="D698" s="2" t="s">
        <v>4323</v>
      </c>
      <c r="E698" s="1" t="s">
        <v>20</v>
      </c>
      <c r="F698" s="1" t="s">
        <v>14</v>
      </c>
      <c r="G698" s="1" t="s">
        <v>15</v>
      </c>
      <c r="H698" s="1" t="s">
        <v>16</v>
      </c>
      <c r="I698" s="1" t="s">
        <v>4324</v>
      </c>
      <c r="J698" s="2" t="s">
        <v>4325</v>
      </c>
      <c r="K698" s="2" t="s">
        <v>4326</v>
      </c>
      <c r="L698" s="2" t="s">
        <v>4327</v>
      </c>
      <c r="M698" s="3" t="str">
        <f>VLOOKUP(G698,справочник!$B$1:$C$94,2,0)</f>
        <v>МСК</v>
      </c>
    </row>
    <row r="699" spans="1:13" ht="55.8" thickBot="1" x14ac:dyDescent="0.35">
      <c r="A699" s="1" t="s">
        <v>131</v>
      </c>
      <c r="B699" s="1">
        <v>3411</v>
      </c>
      <c r="C699" s="1" t="s">
        <v>4328</v>
      </c>
      <c r="D699" s="2" t="s">
        <v>4329</v>
      </c>
      <c r="E699" s="1" t="s">
        <v>20</v>
      </c>
      <c r="F699" s="1" t="s">
        <v>14</v>
      </c>
      <c r="G699" s="1" t="s">
        <v>15</v>
      </c>
      <c r="H699" s="1" t="s">
        <v>4330</v>
      </c>
      <c r="I699" s="1" t="s">
        <v>4331</v>
      </c>
      <c r="J699" s="2" t="s">
        <v>3915</v>
      </c>
      <c r="K699" s="2" t="s">
        <v>4332</v>
      </c>
      <c r="L699" s="2" t="s">
        <v>4333</v>
      </c>
      <c r="M699" s="3" t="str">
        <f>VLOOKUP(G699,справочник!$B$1:$C$94,2,0)</f>
        <v>МСК</v>
      </c>
    </row>
    <row r="700" spans="1:13" ht="42" thickBot="1" x14ac:dyDescent="0.35">
      <c r="A700" s="1" t="s">
        <v>131</v>
      </c>
      <c r="B700" s="1">
        <v>3428</v>
      </c>
      <c r="C700" s="1" t="s">
        <v>4334</v>
      </c>
      <c r="D700" s="2" t="s">
        <v>4335</v>
      </c>
      <c r="E700" s="1" t="s">
        <v>20</v>
      </c>
      <c r="F700" s="1" t="s">
        <v>14</v>
      </c>
      <c r="G700" s="1" t="s">
        <v>15</v>
      </c>
      <c r="H700" s="1" t="s">
        <v>16</v>
      </c>
      <c r="I700" s="1" t="s">
        <v>4336</v>
      </c>
      <c r="J700" s="2" t="s">
        <v>4337</v>
      </c>
      <c r="K700" s="2" t="s">
        <v>4338</v>
      </c>
      <c r="L700" s="2" t="s">
        <v>4339</v>
      </c>
      <c r="M700" s="3" t="str">
        <f>VLOOKUP(G700,справочник!$B$1:$C$94,2,0)</f>
        <v>МСК</v>
      </c>
    </row>
    <row r="701" spans="1:13" ht="42" thickBot="1" x14ac:dyDescent="0.35">
      <c r="A701" s="1" t="s">
        <v>146</v>
      </c>
      <c r="B701" s="1">
        <v>1955</v>
      </c>
      <c r="C701" s="1" t="s">
        <v>4340</v>
      </c>
      <c r="D701" s="2" t="s">
        <v>4341</v>
      </c>
      <c r="E701" s="1" t="s">
        <v>20</v>
      </c>
      <c r="F701" s="1" t="s">
        <v>14</v>
      </c>
      <c r="G701" s="1" t="s">
        <v>15</v>
      </c>
      <c r="H701" s="1" t="s">
        <v>16</v>
      </c>
      <c r="I701" s="1" t="s">
        <v>4342</v>
      </c>
      <c r="J701" s="2" t="s">
        <v>2481</v>
      </c>
      <c r="K701" s="2" t="s">
        <v>4343</v>
      </c>
      <c r="L701" s="2" t="s">
        <v>4344</v>
      </c>
      <c r="M701" s="3" t="str">
        <f>VLOOKUP(G701,справочник!$B$1:$C$94,2,0)</f>
        <v>МСК</v>
      </c>
    </row>
    <row r="702" spans="1:13" ht="55.8" thickBot="1" x14ac:dyDescent="0.35">
      <c r="A702" s="1" t="s">
        <v>146</v>
      </c>
      <c r="B702" s="1">
        <v>2105</v>
      </c>
      <c r="C702" s="1" t="s">
        <v>4345</v>
      </c>
      <c r="D702" s="2" t="s">
        <v>4346</v>
      </c>
      <c r="E702" s="1" t="s">
        <v>20</v>
      </c>
      <c r="F702" s="1" t="s">
        <v>114</v>
      </c>
      <c r="G702" s="1" t="s">
        <v>121</v>
      </c>
      <c r="H702" s="1" t="s">
        <v>122</v>
      </c>
      <c r="I702" s="1" t="s">
        <v>4347</v>
      </c>
      <c r="J702" s="2" t="s">
        <v>4348</v>
      </c>
      <c r="K702" s="2" t="s">
        <v>4349</v>
      </c>
      <c r="L702" s="2" t="s">
        <v>4350</v>
      </c>
      <c r="M702" s="3" t="str">
        <f>VLOOKUP(G702,справочник!$B$1:$C$94,2,0)</f>
        <v>МСК+7</v>
      </c>
    </row>
    <row r="703" spans="1:13" ht="42" thickBot="1" x14ac:dyDescent="0.35">
      <c r="A703" s="1" t="s">
        <v>12</v>
      </c>
      <c r="B703" s="1">
        <v>3315</v>
      </c>
      <c r="C703" s="1" t="s">
        <v>4351</v>
      </c>
      <c r="D703" s="2" t="s">
        <v>4352</v>
      </c>
      <c r="E703" s="1" t="s">
        <v>29</v>
      </c>
      <c r="F703" s="1" t="s">
        <v>30</v>
      </c>
      <c r="G703" s="1" t="s">
        <v>31</v>
      </c>
      <c r="H703" s="1" t="s">
        <v>32</v>
      </c>
      <c r="I703" s="1" t="s">
        <v>4353</v>
      </c>
      <c r="J703" s="2" t="s">
        <v>4354</v>
      </c>
      <c r="K703" s="2" t="s">
        <v>4355</v>
      </c>
      <c r="L703" s="2" t="s">
        <v>4356</v>
      </c>
      <c r="M703" s="3" t="str">
        <f>VLOOKUP(G703,справочник!$B$1:$C$94,2,0)</f>
        <v>МСК</v>
      </c>
    </row>
    <row r="704" spans="1:13" ht="42" thickBot="1" x14ac:dyDescent="0.35">
      <c r="A704" s="1" t="s">
        <v>261</v>
      </c>
      <c r="B704" s="1">
        <v>2436</v>
      </c>
      <c r="C704" s="1" t="s">
        <v>4357</v>
      </c>
      <c r="D704" s="2" t="s">
        <v>4358</v>
      </c>
      <c r="E704" s="1" t="s">
        <v>20</v>
      </c>
      <c r="F704" s="1" t="s">
        <v>21</v>
      </c>
      <c r="G704" s="1" t="s">
        <v>199</v>
      </c>
      <c r="H704" s="1" t="s">
        <v>200</v>
      </c>
      <c r="I704" s="1" t="s">
        <v>4360</v>
      </c>
      <c r="J704" s="2" t="s">
        <v>2267</v>
      </c>
      <c r="K704" s="2" t="s">
        <v>4361</v>
      </c>
      <c r="L704" s="2" t="s">
        <v>4359</v>
      </c>
      <c r="M704" s="3" t="str">
        <f>VLOOKUP(G704,справочник!$B$1:$C$94,2,0)</f>
        <v>МСК</v>
      </c>
    </row>
    <row r="705" spans="1:13" ht="42" thickBot="1" x14ac:dyDescent="0.35">
      <c r="A705" s="1" t="s">
        <v>54</v>
      </c>
      <c r="B705" s="1">
        <v>3324</v>
      </c>
      <c r="C705" s="1" t="s">
        <v>4362</v>
      </c>
      <c r="D705" s="2" t="s">
        <v>4363</v>
      </c>
      <c r="E705" s="1" t="s">
        <v>29</v>
      </c>
      <c r="F705" s="1" t="s">
        <v>109</v>
      </c>
      <c r="G705" s="1" t="s">
        <v>110</v>
      </c>
      <c r="H705" s="1" t="s">
        <v>4365</v>
      </c>
      <c r="I705" s="1" t="s">
        <v>4366</v>
      </c>
      <c r="J705" s="2" t="s">
        <v>4367</v>
      </c>
      <c r="K705" s="2" t="s">
        <v>4368</v>
      </c>
      <c r="L705" s="2" t="s">
        <v>4364</v>
      </c>
      <c r="M705" s="3" t="str">
        <f>VLOOKUP(G705,справочник!$B$1:$C$94,2,0)</f>
        <v>МСК</v>
      </c>
    </row>
    <row r="706" spans="1:13" ht="42" thickBot="1" x14ac:dyDescent="0.35">
      <c r="A706" s="1" t="s">
        <v>12</v>
      </c>
      <c r="B706" s="1">
        <v>926</v>
      </c>
      <c r="C706" s="1" t="s">
        <v>4369</v>
      </c>
      <c r="D706" s="2" t="s">
        <v>4370</v>
      </c>
      <c r="E706" s="1" t="s">
        <v>29</v>
      </c>
      <c r="F706" s="1" t="s">
        <v>109</v>
      </c>
      <c r="G706" s="1" t="s">
        <v>110</v>
      </c>
      <c r="H706" s="1" t="s">
        <v>4365</v>
      </c>
      <c r="I706" s="1" t="s">
        <v>4371</v>
      </c>
      <c r="J706" s="2" t="s">
        <v>4372</v>
      </c>
      <c r="K706" s="2" t="s">
        <v>4373</v>
      </c>
      <c r="L706" s="2" t="s">
        <v>4374</v>
      </c>
      <c r="M706" s="3" t="str">
        <f>VLOOKUP(G706,справочник!$B$1:$C$94,2,0)</f>
        <v>МСК</v>
      </c>
    </row>
    <row r="707" spans="1:13" ht="28.2" thickBot="1" x14ac:dyDescent="0.35">
      <c r="A707" s="1" t="s">
        <v>12</v>
      </c>
      <c r="B707" s="1">
        <v>7324</v>
      </c>
      <c r="C707" s="1" t="s">
        <v>4375</v>
      </c>
      <c r="D707" s="2" t="s">
        <v>4376</v>
      </c>
      <c r="E707" s="1" t="s">
        <v>29</v>
      </c>
      <c r="F707" s="1" t="s">
        <v>109</v>
      </c>
      <c r="G707" s="1" t="s">
        <v>110</v>
      </c>
      <c r="H707" s="1" t="s">
        <v>4377</v>
      </c>
      <c r="I707" s="1" t="s">
        <v>4378</v>
      </c>
      <c r="J707" s="2" t="s">
        <v>4379</v>
      </c>
      <c r="K707" s="2" t="s">
        <v>4380</v>
      </c>
      <c r="L707" s="2" t="s">
        <v>4381</v>
      </c>
      <c r="M707" s="3" t="str">
        <f>VLOOKUP(G707,справочник!$B$1:$C$94,2,0)</f>
        <v>МСК</v>
      </c>
    </row>
    <row r="708" spans="1:13" ht="28.2" thickBot="1" x14ac:dyDescent="0.35">
      <c r="A708" s="1" t="s">
        <v>12</v>
      </c>
      <c r="B708" s="1">
        <v>3474</v>
      </c>
      <c r="C708" s="1" t="s">
        <v>4382</v>
      </c>
      <c r="D708" s="2" t="s">
        <v>4383</v>
      </c>
      <c r="E708" s="1" t="s">
        <v>29</v>
      </c>
      <c r="F708" s="1" t="s">
        <v>30</v>
      </c>
      <c r="G708" s="1" t="s">
        <v>31</v>
      </c>
      <c r="H708" s="1" t="s">
        <v>32</v>
      </c>
      <c r="I708" s="1" t="s">
        <v>4385</v>
      </c>
      <c r="J708" s="2" t="s">
        <v>4386</v>
      </c>
      <c r="K708" s="2" t="s">
        <v>4384</v>
      </c>
      <c r="L708" s="2" t="s">
        <v>4387</v>
      </c>
      <c r="M708" s="3" t="str">
        <f>VLOOKUP(G708,справочник!$B$1:$C$94,2,0)</f>
        <v>МСК</v>
      </c>
    </row>
    <row r="709" spans="1:13" ht="42" thickBot="1" x14ac:dyDescent="0.35">
      <c r="A709" s="1" t="s">
        <v>177</v>
      </c>
      <c r="B709" s="1">
        <v>738</v>
      </c>
      <c r="C709" s="1" t="s">
        <v>4388</v>
      </c>
      <c r="D709" s="2" t="s">
        <v>4389</v>
      </c>
      <c r="E709" s="1" t="s">
        <v>29</v>
      </c>
      <c r="F709" s="1" t="s">
        <v>222</v>
      </c>
      <c r="G709" s="1" t="s">
        <v>727</v>
      </c>
      <c r="H709" s="1" t="s">
        <v>728</v>
      </c>
      <c r="I709" s="1" t="s">
        <v>4390</v>
      </c>
      <c r="J709" s="2" t="s">
        <v>4391</v>
      </c>
      <c r="K709" s="2" t="s">
        <v>4392</v>
      </c>
      <c r="L709" s="2" t="s">
        <v>4393</v>
      </c>
      <c r="M709" s="3" t="str">
        <f>VLOOKUP(G709,справочник!$B$1:$C$94,2,0)</f>
        <v>МСК</v>
      </c>
    </row>
    <row r="710" spans="1:13" ht="55.8" thickBot="1" x14ac:dyDescent="0.35">
      <c r="A710" s="1" t="s">
        <v>12</v>
      </c>
      <c r="B710" s="1">
        <v>7575</v>
      </c>
      <c r="C710" s="1" t="s">
        <v>4394</v>
      </c>
      <c r="D710" s="2" t="s">
        <v>4395</v>
      </c>
      <c r="E710" s="1" t="s">
        <v>29</v>
      </c>
      <c r="F710" s="1" t="s">
        <v>222</v>
      </c>
      <c r="G710" s="1" t="s">
        <v>727</v>
      </c>
      <c r="H710" s="1" t="s">
        <v>4397</v>
      </c>
      <c r="I710" s="1" t="s">
        <v>4398</v>
      </c>
      <c r="J710" s="2" t="s">
        <v>4013</v>
      </c>
      <c r="K710" s="2" t="s">
        <v>4399</v>
      </c>
      <c r="L710" s="2" t="s">
        <v>4396</v>
      </c>
      <c r="M710" s="3" t="str">
        <f>VLOOKUP(G710,справочник!$B$1:$C$94,2,0)</f>
        <v>МСК</v>
      </c>
    </row>
    <row r="711" spans="1:13" ht="42" thickBot="1" x14ac:dyDescent="0.35">
      <c r="A711" s="1" t="s">
        <v>146</v>
      </c>
      <c r="B711" s="1">
        <v>735</v>
      </c>
      <c r="C711" s="1" t="s">
        <v>4400</v>
      </c>
      <c r="D711" s="2" t="s">
        <v>4401</v>
      </c>
      <c r="E711" s="1" t="s">
        <v>29</v>
      </c>
      <c r="F711" s="1" t="s">
        <v>222</v>
      </c>
      <c r="G711" s="1" t="s">
        <v>727</v>
      </c>
      <c r="H711" s="1" t="s">
        <v>728</v>
      </c>
      <c r="I711" s="1" t="s">
        <v>4403</v>
      </c>
      <c r="J711" s="2" t="s">
        <v>4404</v>
      </c>
      <c r="K711" s="2" t="s">
        <v>4405</v>
      </c>
      <c r="L711" s="2" t="s">
        <v>4402</v>
      </c>
      <c r="M711" s="3" t="str">
        <f>VLOOKUP(G711,справочник!$B$1:$C$94,2,0)</f>
        <v>МСК</v>
      </c>
    </row>
    <row r="712" spans="1:13" ht="42" thickBot="1" x14ac:dyDescent="0.35">
      <c r="A712" s="1" t="s">
        <v>146</v>
      </c>
      <c r="B712" s="1">
        <v>121</v>
      </c>
      <c r="C712" s="1" t="s">
        <v>4406</v>
      </c>
      <c r="D712" s="2" t="s">
        <v>4407</v>
      </c>
      <c r="E712" s="1" t="s">
        <v>29</v>
      </c>
      <c r="F712" s="1" t="s">
        <v>222</v>
      </c>
      <c r="G712" s="1" t="s">
        <v>727</v>
      </c>
      <c r="H712" s="1" t="s">
        <v>728</v>
      </c>
      <c r="I712" s="1" t="s">
        <v>4408</v>
      </c>
      <c r="J712" s="2" t="s">
        <v>4409</v>
      </c>
      <c r="K712" s="2" t="s">
        <v>4410</v>
      </c>
      <c r="L712" s="2" t="s">
        <v>4411</v>
      </c>
      <c r="M712" s="3" t="str">
        <f>VLOOKUP(G712,справочник!$B$1:$C$94,2,0)</f>
        <v>МСК</v>
      </c>
    </row>
    <row r="713" spans="1:13" ht="42" thickBot="1" x14ac:dyDescent="0.35">
      <c r="A713" s="1" t="s">
        <v>54</v>
      </c>
      <c r="B713" s="1">
        <v>3302</v>
      </c>
      <c r="C713" s="1" t="s">
        <v>4412</v>
      </c>
      <c r="D713" s="2" t="s">
        <v>4413</v>
      </c>
      <c r="E713" s="1" t="s">
        <v>29</v>
      </c>
      <c r="F713" s="1" t="s">
        <v>222</v>
      </c>
      <c r="G713" s="1" t="s">
        <v>727</v>
      </c>
      <c r="H713" s="1" t="s">
        <v>4414</v>
      </c>
      <c r="I713" s="1" t="s">
        <v>4415</v>
      </c>
      <c r="J713" s="2" t="s">
        <v>4416</v>
      </c>
      <c r="K713" s="2" t="s">
        <v>4417</v>
      </c>
      <c r="L713" s="2" t="s">
        <v>4418</v>
      </c>
      <c r="M713" s="3" t="str">
        <f>VLOOKUP(G713,справочник!$B$1:$C$94,2,0)</f>
        <v>МСК</v>
      </c>
    </row>
    <row r="714" spans="1:13" ht="42" thickBot="1" x14ac:dyDescent="0.35">
      <c r="A714" s="1" t="s">
        <v>146</v>
      </c>
      <c r="B714" s="1">
        <v>122</v>
      </c>
      <c r="C714" s="1" t="s">
        <v>4419</v>
      </c>
      <c r="D714" s="2" t="s">
        <v>4420</v>
      </c>
      <c r="E714" s="1" t="s">
        <v>29</v>
      </c>
      <c r="F714" s="1" t="s">
        <v>222</v>
      </c>
      <c r="G714" s="1" t="s">
        <v>727</v>
      </c>
      <c r="H714" s="1" t="s">
        <v>728</v>
      </c>
      <c r="I714" s="1" t="s">
        <v>4421</v>
      </c>
      <c r="J714" s="2" t="s">
        <v>467</v>
      </c>
      <c r="K714" s="2" t="s">
        <v>4422</v>
      </c>
      <c r="L714" s="2" t="s">
        <v>4423</v>
      </c>
      <c r="M714" s="3" t="str">
        <f>VLOOKUP(G714,справочник!$B$1:$C$94,2,0)</f>
        <v>МСК</v>
      </c>
    </row>
    <row r="715" spans="1:13" ht="83.4" thickBot="1" x14ac:dyDescent="0.35">
      <c r="A715" s="1" t="s">
        <v>168</v>
      </c>
      <c r="B715" s="1">
        <v>123</v>
      </c>
      <c r="C715" s="1" t="s">
        <v>4424</v>
      </c>
      <c r="D715" s="2" t="s">
        <v>4425</v>
      </c>
      <c r="E715" s="1" t="s">
        <v>29</v>
      </c>
      <c r="F715" s="1" t="s">
        <v>222</v>
      </c>
      <c r="G715" s="1" t="s">
        <v>727</v>
      </c>
      <c r="H715" s="1" t="s">
        <v>728</v>
      </c>
      <c r="I715" s="1" t="s">
        <v>4426</v>
      </c>
      <c r="J715" s="2" t="s">
        <v>4427</v>
      </c>
      <c r="K715" s="2" t="s">
        <v>4428</v>
      </c>
      <c r="L715" s="2" t="s">
        <v>4429</v>
      </c>
      <c r="M715" s="3" t="str">
        <f>VLOOKUP(G715,справочник!$B$1:$C$94,2,0)</f>
        <v>МСК</v>
      </c>
    </row>
    <row r="716" spans="1:13" ht="42" thickBot="1" x14ac:dyDescent="0.35">
      <c r="A716" s="1" t="s">
        <v>146</v>
      </c>
      <c r="B716" s="1">
        <v>124</v>
      </c>
      <c r="C716" s="1" t="s">
        <v>4430</v>
      </c>
      <c r="D716" s="2" t="s">
        <v>4431</v>
      </c>
      <c r="E716" s="1" t="s">
        <v>29</v>
      </c>
      <c r="F716" s="1" t="s">
        <v>222</v>
      </c>
      <c r="G716" s="1" t="s">
        <v>727</v>
      </c>
      <c r="H716" s="1" t="s">
        <v>728</v>
      </c>
      <c r="I716" s="1" t="s">
        <v>4432</v>
      </c>
      <c r="J716" s="2" t="s">
        <v>4433</v>
      </c>
      <c r="K716" s="2" t="s">
        <v>4434</v>
      </c>
      <c r="L716" s="2" t="s">
        <v>4435</v>
      </c>
      <c r="M716" s="3" t="str">
        <f>VLOOKUP(G716,справочник!$B$1:$C$94,2,0)</f>
        <v>МСК</v>
      </c>
    </row>
    <row r="717" spans="1:13" ht="42" thickBot="1" x14ac:dyDescent="0.35">
      <c r="A717" s="1" t="s">
        <v>146</v>
      </c>
      <c r="B717" s="1">
        <v>125</v>
      </c>
      <c r="C717" s="1" t="s">
        <v>4436</v>
      </c>
      <c r="D717" s="2" t="s">
        <v>4437</v>
      </c>
      <c r="E717" s="1" t="s">
        <v>29</v>
      </c>
      <c r="F717" s="1" t="s">
        <v>222</v>
      </c>
      <c r="G717" s="1" t="s">
        <v>727</v>
      </c>
      <c r="H717" s="1" t="s">
        <v>728</v>
      </c>
      <c r="I717" s="1" t="s">
        <v>4438</v>
      </c>
      <c r="J717" s="2" t="s">
        <v>4439</v>
      </c>
      <c r="K717" s="2" t="s">
        <v>4440</v>
      </c>
      <c r="L717" s="2" t="s">
        <v>4441</v>
      </c>
      <c r="M717" s="3" t="str">
        <f>VLOOKUP(G717,справочник!$B$1:$C$94,2,0)</f>
        <v>МСК</v>
      </c>
    </row>
    <row r="718" spans="1:13" ht="42" thickBot="1" x14ac:dyDescent="0.35">
      <c r="A718" s="1" t="s">
        <v>146</v>
      </c>
      <c r="B718" s="1">
        <v>406</v>
      </c>
      <c r="C718" s="1" t="s">
        <v>4442</v>
      </c>
      <c r="D718" s="2" t="s">
        <v>4443</v>
      </c>
      <c r="E718" s="1" t="s">
        <v>29</v>
      </c>
      <c r="F718" s="1" t="s">
        <v>47</v>
      </c>
      <c r="G718" s="1" t="s">
        <v>7293</v>
      </c>
      <c r="H718" s="1" t="s">
        <v>4444</v>
      </c>
      <c r="I718" s="1" t="s">
        <v>4445</v>
      </c>
      <c r="J718" s="2" t="s">
        <v>4446</v>
      </c>
      <c r="K718" s="2" t="s">
        <v>4447</v>
      </c>
      <c r="L718" s="2" t="s">
        <v>4448</v>
      </c>
      <c r="M718" s="3" t="str">
        <f>VLOOKUP(G718,справочник!$B$1:$C$94,2,0)</f>
        <v>МСК+2</v>
      </c>
    </row>
    <row r="719" spans="1:13" ht="42" thickBot="1" x14ac:dyDescent="0.35">
      <c r="A719" s="1" t="s">
        <v>17</v>
      </c>
      <c r="B719" s="1">
        <v>2173</v>
      </c>
      <c r="C719" s="1" t="s">
        <v>4449</v>
      </c>
      <c r="D719" s="2" t="s">
        <v>4450</v>
      </c>
      <c r="E719" s="1" t="s">
        <v>20</v>
      </c>
      <c r="F719" s="1" t="s">
        <v>114</v>
      </c>
      <c r="G719" s="1" t="s">
        <v>121</v>
      </c>
      <c r="H719" s="1" t="s">
        <v>122</v>
      </c>
      <c r="I719" s="1" t="s">
        <v>4452</v>
      </c>
      <c r="J719" s="2" t="s">
        <v>4453</v>
      </c>
      <c r="K719" s="2" t="s">
        <v>4454</v>
      </c>
      <c r="L719" s="2" t="s">
        <v>4451</v>
      </c>
      <c r="M719" s="3" t="str">
        <f>VLOOKUP(G719,справочник!$B$1:$C$94,2,0)</f>
        <v>МСК+7</v>
      </c>
    </row>
    <row r="720" spans="1:13" ht="42" thickBot="1" x14ac:dyDescent="0.35">
      <c r="A720" s="1" t="s">
        <v>146</v>
      </c>
      <c r="B720" s="1">
        <v>126</v>
      </c>
      <c r="C720" s="1" t="s">
        <v>4455</v>
      </c>
      <c r="D720" s="2" t="s">
        <v>4456</v>
      </c>
      <c r="E720" s="1" t="s">
        <v>29</v>
      </c>
      <c r="F720" s="1" t="s">
        <v>30</v>
      </c>
      <c r="G720" s="1" t="s">
        <v>4457</v>
      </c>
      <c r="H720" s="1" t="s">
        <v>4458</v>
      </c>
      <c r="I720" s="1" t="s">
        <v>4459</v>
      </c>
      <c r="J720" s="2" t="s">
        <v>4460</v>
      </c>
      <c r="K720" s="2" t="s">
        <v>4461</v>
      </c>
      <c r="L720" s="2" t="s">
        <v>4462</v>
      </c>
      <c r="M720" s="3" t="str">
        <f>VLOOKUP(G720,справочник!$B$1:$C$94,2,0)</f>
        <v>МСК</v>
      </c>
    </row>
    <row r="721" spans="1:13" ht="28.2" thickBot="1" x14ac:dyDescent="0.35">
      <c r="A721" s="1" t="s">
        <v>177</v>
      </c>
      <c r="B721" s="1">
        <v>781</v>
      </c>
      <c r="C721" s="1" t="s">
        <v>4463</v>
      </c>
      <c r="D721" s="2" t="s">
        <v>4464</v>
      </c>
      <c r="E721" s="1" t="s">
        <v>29</v>
      </c>
      <c r="F721" s="1" t="s">
        <v>36</v>
      </c>
      <c r="G721" s="1" t="s">
        <v>1181</v>
      </c>
      <c r="H721" s="1" t="s">
        <v>1710</v>
      </c>
      <c r="I721" s="1" t="s">
        <v>4467</v>
      </c>
      <c r="J721" s="2" t="s">
        <v>467</v>
      </c>
      <c r="K721" s="2" t="s">
        <v>4465</v>
      </c>
      <c r="L721" s="2" t="s">
        <v>4466</v>
      </c>
      <c r="M721" s="3" t="str">
        <f>VLOOKUP(G721,справочник!$B$1:$C$94,2,0)</f>
        <v>МСК+4</v>
      </c>
    </row>
    <row r="722" spans="1:13" ht="42" thickBot="1" x14ac:dyDescent="0.35">
      <c r="A722" s="1" t="s">
        <v>146</v>
      </c>
      <c r="B722" s="1">
        <v>128</v>
      </c>
      <c r="C722" s="1" t="s">
        <v>4468</v>
      </c>
      <c r="D722" s="2" t="s">
        <v>4469</v>
      </c>
      <c r="E722" s="1" t="s">
        <v>29</v>
      </c>
      <c r="F722" s="1" t="s">
        <v>36</v>
      </c>
      <c r="G722" s="1" t="s">
        <v>1181</v>
      </c>
      <c r="H722" s="1" t="s">
        <v>1710</v>
      </c>
      <c r="I722" s="1" t="s">
        <v>4470</v>
      </c>
      <c r="J722" s="2" t="s">
        <v>4471</v>
      </c>
      <c r="K722" s="2" t="s">
        <v>4472</v>
      </c>
      <c r="L722" s="2" t="s">
        <v>4473</v>
      </c>
      <c r="M722" s="3" t="str">
        <f>VLOOKUP(G722,справочник!$B$1:$C$94,2,0)</f>
        <v>МСК+4</v>
      </c>
    </row>
    <row r="723" spans="1:13" ht="42" thickBot="1" x14ac:dyDescent="0.35">
      <c r="A723" s="1" t="s">
        <v>131</v>
      </c>
      <c r="B723" s="1">
        <v>643</v>
      </c>
      <c r="C723" s="1" t="s">
        <v>4474</v>
      </c>
      <c r="D723" s="2" t="s">
        <v>4475</v>
      </c>
      <c r="E723" s="1" t="s">
        <v>29</v>
      </c>
      <c r="F723" s="1" t="s">
        <v>36</v>
      </c>
      <c r="G723" s="1" t="s">
        <v>1181</v>
      </c>
      <c r="H723" s="1" t="s">
        <v>1710</v>
      </c>
      <c r="I723" s="1" t="s">
        <v>4476</v>
      </c>
      <c r="J723" s="2" t="s">
        <v>4477</v>
      </c>
      <c r="K723" s="2" t="s">
        <v>4478</v>
      </c>
      <c r="L723" s="2" t="s">
        <v>4479</v>
      </c>
      <c r="M723" s="3" t="str">
        <f>VLOOKUP(G723,справочник!$B$1:$C$94,2,0)</f>
        <v>МСК+4</v>
      </c>
    </row>
    <row r="724" spans="1:13" ht="28.2" thickBot="1" x14ac:dyDescent="0.35">
      <c r="A724" s="1" t="s">
        <v>168</v>
      </c>
      <c r="B724" s="1">
        <v>129</v>
      </c>
      <c r="C724" s="1" t="s">
        <v>4480</v>
      </c>
      <c r="D724" s="2" t="s">
        <v>4481</v>
      </c>
      <c r="E724" s="1" t="s">
        <v>29</v>
      </c>
      <c r="F724" s="1" t="s">
        <v>36</v>
      </c>
      <c r="G724" s="1" t="s">
        <v>1181</v>
      </c>
      <c r="H724" s="1" t="s">
        <v>1710</v>
      </c>
      <c r="I724" s="1" t="s">
        <v>4484</v>
      </c>
      <c r="J724" s="2" t="s">
        <v>4485</v>
      </c>
      <c r="K724" s="2" t="s">
        <v>4482</v>
      </c>
      <c r="L724" s="2" t="s">
        <v>4483</v>
      </c>
      <c r="M724" s="3" t="str">
        <f>VLOOKUP(G724,справочник!$B$1:$C$94,2,0)</f>
        <v>МСК+4</v>
      </c>
    </row>
    <row r="725" spans="1:13" ht="28.2" thickBot="1" x14ac:dyDescent="0.35">
      <c r="A725" s="1" t="s">
        <v>54</v>
      </c>
      <c r="B725" s="1">
        <v>3299</v>
      </c>
      <c r="C725" s="1" t="s">
        <v>4486</v>
      </c>
      <c r="D725" s="2" t="s">
        <v>4487</v>
      </c>
      <c r="E725" s="1" t="s">
        <v>29</v>
      </c>
      <c r="F725" s="1" t="s">
        <v>36</v>
      </c>
      <c r="G725" s="1" t="s">
        <v>1181</v>
      </c>
      <c r="H725" s="1" t="s">
        <v>1710</v>
      </c>
      <c r="I725" s="1" t="s">
        <v>4488</v>
      </c>
      <c r="J725" s="2" t="s">
        <v>4489</v>
      </c>
      <c r="K725" s="2" t="s">
        <v>4490</v>
      </c>
      <c r="L725" s="2" t="s">
        <v>4491</v>
      </c>
      <c r="M725" s="3" t="str">
        <f>VLOOKUP(G725,справочник!$B$1:$C$94,2,0)</f>
        <v>МСК+4</v>
      </c>
    </row>
    <row r="726" spans="1:13" ht="42" thickBot="1" x14ac:dyDescent="0.35">
      <c r="A726" s="1" t="s">
        <v>146</v>
      </c>
      <c r="B726" s="1">
        <v>130</v>
      </c>
      <c r="C726" s="1" t="s">
        <v>4492</v>
      </c>
      <c r="D726" s="2" t="s">
        <v>4493</v>
      </c>
      <c r="E726" s="1" t="s">
        <v>29</v>
      </c>
      <c r="F726" s="1" t="s">
        <v>36</v>
      </c>
      <c r="G726" s="1" t="s">
        <v>1181</v>
      </c>
      <c r="H726" s="1" t="s">
        <v>1710</v>
      </c>
      <c r="I726" s="1" t="s">
        <v>4495</v>
      </c>
      <c r="J726" s="2" t="s">
        <v>4496</v>
      </c>
      <c r="K726" s="2" t="s">
        <v>4494</v>
      </c>
      <c r="L726" s="2" t="s">
        <v>4497</v>
      </c>
      <c r="M726" s="3" t="str">
        <f>VLOOKUP(G726,справочник!$B$1:$C$94,2,0)</f>
        <v>МСК+4</v>
      </c>
    </row>
    <row r="727" spans="1:13" ht="42" thickBot="1" x14ac:dyDescent="0.35">
      <c r="A727" s="1" t="s">
        <v>146</v>
      </c>
      <c r="B727" s="1">
        <v>127</v>
      </c>
      <c r="C727" s="1" t="s">
        <v>4498</v>
      </c>
      <c r="D727" s="2" t="s">
        <v>4499</v>
      </c>
      <c r="E727" s="1" t="s">
        <v>29</v>
      </c>
      <c r="F727" s="1" t="s">
        <v>36</v>
      </c>
      <c r="G727" s="1" t="s">
        <v>1181</v>
      </c>
      <c r="H727" s="1" t="s">
        <v>1710</v>
      </c>
      <c r="I727" s="1" t="s">
        <v>4500</v>
      </c>
      <c r="J727" s="2" t="s">
        <v>4501</v>
      </c>
      <c r="K727" s="2" t="s">
        <v>4502</v>
      </c>
      <c r="L727" s="2" t="s">
        <v>4503</v>
      </c>
      <c r="M727" s="3" t="str">
        <f>VLOOKUP(G727,справочник!$B$1:$C$94,2,0)</f>
        <v>МСК+4</v>
      </c>
    </row>
    <row r="728" spans="1:13" ht="42" thickBot="1" x14ac:dyDescent="0.35">
      <c r="A728" s="1" t="s">
        <v>146</v>
      </c>
      <c r="B728" s="1">
        <v>132</v>
      </c>
      <c r="C728" s="1" t="s">
        <v>4504</v>
      </c>
      <c r="D728" s="2" t="s">
        <v>4505</v>
      </c>
      <c r="E728" s="1" t="s">
        <v>29</v>
      </c>
      <c r="F728" s="1" t="s">
        <v>36</v>
      </c>
      <c r="G728" s="1" t="s">
        <v>1181</v>
      </c>
      <c r="H728" s="1" t="s">
        <v>1710</v>
      </c>
      <c r="I728" s="1" t="s">
        <v>4506</v>
      </c>
      <c r="J728" s="2" t="s">
        <v>4507</v>
      </c>
      <c r="K728" s="2" t="s">
        <v>4508</v>
      </c>
      <c r="L728" s="2" t="s">
        <v>4509</v>
      </c>
      <c r="M728" s="3" t="str">
        <f>VLOOKUP(G728,справочник!$B$1:$C$94,2,0)</f>
        <v>МСК+4</v>
      </c>
    </row>
    <row r="729" spans="1:13" ht="42" thickBot="1" x14ac:dyDescent="0.35">
      <c r="A729" s="1" t="s">
        <v>146</v>
      </c>
      <c r="B729" s="1">
        <v>2206</v>
      </c>
      <c r="C729" s="1" t="s">
        <v>4510</v>
      </c>
      <c r="D729" s="2" t="s">
        <v>4511</v>
      </c>
      <c r="E729" s="1" t="s">
        <v>20</v>
      </c>
      <c r="F729" s="1" t="s">
        <v>36</v>
      </c>
      <c r="G729" s="1" t="s">
        <v>1181</v>
      </c>
      <c r="H729" s="1" t="s">
        <v>1710</v>
      </c>
      <c r="I729" s="1" t="s">
        <v>4512</v>
      </c>
      <c r="J729" s="2" t="s">
        <v>4513</v>
      </c>
      <c r="K729" s="2" t="s">
        <v>4514</v>
      </c>
      <c r="L729" s="2" t="s">
        <v>4515</v>
      </c>
      <c r="M729" s="3" t="str">
        <f>VLOOKUP(G729,справочник!$B$1:$C$94,2,0)</f>
        <v>МСК+4</v>
      </c>
    </row>
    <row r="730" spans="1:13" ht="55.8" thickBot="1" x14ac:dyDescent="0.35">
      <c r="A730" s="1" t="s">
        <v>131</v>
      </c>
      <c r="B730" s="1">
        <v>3453</v>
      </c>
      <c r="C730" s="1" t="s">
        <v>4516</v>
      </c>
      <c r="D730" s="2" t="s">
        <v>4517</v>
      </c>
      <c r="E730" s="1" t="s">
        <v>104</v>
      </c>
      <c r="F730" s="1" t="s">
        <v>36</v>
      </c>
      <c r="G730" s="1" t="s">
        <v>1181</v>
      </c>
      <c r="H730" s="1" t="s">
        <v>1710</v>
      </c>
      <c r="I730" s="1" t="s">
        <v>4518</v>
      </c>
      <c r="J730" s="2" t="s">
        <v>4519</v>
      </c>
      <c r="K730" s="2" t="s">
        <v>4520</v>
      </c>
      <c r="L730" s="2" t="s">
        <v>4521</v>
      </c>
      <c r="M730" s="3" t="str">
        <f>VLOOKUP(G730,справочник!$B$1:$C$94,2,0)</f>
        <v>МСК+4</v>
      </c>
    </row>
    <row r="731" spans="1:13" ht="28.2" thickBot="1" x14ac:dyDescent="0.35">
      <c r="A731" s="1" t="s">
        <v>131</v>
      </c>
      <c r="B731" s="1">
        <v>3620</v>
      </c>
      <c r="C731" s="1" t="s">
        <v>4522</v>
      </c>
      <c r="D731" s="2" t="s">
        <v>4523</v>
      </c>
      <c r="E731" s="1" t="s">
        <v>20</v>
      </c>
      <c r="F731" s="1" t="s">
        <v>36</v>
      </c>
      <c r="G731" s="1" t="s">
        <v>1181</v>
      </c>
      <c r="H731" s="1" t="s">
        <v>1710</v>
      </c>
      <c r="I731" s="1" t="s">
        <v>4524</v>
      </c>
      <c r="J731" s="2" t="s">
        <v>4525</v>
      </c>
      <c r="K731" s="2" t="s">
        <v>4526</v>
      </c>
      <c r="L731" s="2" t="s">
        <v>4527</v>
      </c>
      <c r="M731" s="3" t="str">
        <f>VLOOKUP(G731,справочник!$B$1:$C$94,2,0)</f>
        <v>МСК+4</v>
      </c>
    </row>
    <row r="732" spans="1:13" ht="42" thickBot="1" x14ac:dyDescent="0.35">
      <c r="A732" s="1" t="s">
        <v>146</v>
      </c>
      <c r="B732" s="1">
        <v>131</v>
      </c>
      <c r="C732" s="1" t="s">
        <v>4528</v>
      </c>
      <c r="D732" s="2" t="s">
        <v>4529</v>
      </c>
      <c r="E732" s="1" t="s">
        <v>29</v>
      </c>
      <c r="F732" s="1" t="s">
        <v>36</v>
      </c>
      <c r="G732" s="1" t="s">
        <v>1181</v>
      </c>
      <c r="H732" s="1" t="s">
        <v>1710</v>
      </c>
      <c r="I732" s="1" t="s">
        <v>4530</v>
      </c>
      <c r="J732" s="2" t="s">
        <v>4531</v>
      </c>
      <c r="K732" s="2" t="s">
        <v>4532</v>
      </c>
      <c r="L732" s="2" t="s">
        <v>4533</v>
      </c>
      <c r="M732" s="3" t="str">
        <f>VLOOKUP(G732,справочник!$B$1:$C$94,2,0)</f>
        <v>МСК+4</v>
      </c>
    </row>
    <row r="733" spans="1:13" ht="69.599999999999994" thickBot="1" x14ac:dyDescent="0.35">
      <c r="A733" s="1" t="s">
        <v>12</v>
      </c>
      <c r="B733" s="1">
        <v>7426</v>
      </c>
      <c r="C733" s="1" t="s">
        <v>4534</v>
      </c>
      <c r="D733" s="2" t="s">
        <v>4535</v>
      </c>
      <c r="E733" s="1" t="s">
        <v>29</v>
      </c>
      <c r="F733" s="1" t="s">
        <v>222</v>
      </c>
      <c r="G733" s="1" t="s">
        <v>4536</v>
      </c>
      <c r="H733" s="1" t="s">
        <v>4537</v>
      </c>
      <c r="I733" s="1" t="s">
        <v>4538</v>
      </c>
      <c r="J733" s="2" t="s">
        <v>4539</v>
      </c>
      <c r="K733" s="2" t="s">
        <v>4540</v>
      </c>
      <c r="L733" s="2" t="s">
        <v>4541</v>
      </c>
      <c r="M733" s="3" t="str">
        <f>VLOOKUP(G733,справочник!$B$1:$C$94,2,0)</f>
        <v>МСК+1</v>
      </c>
    </row>
    <row r="734" spans="1:13" ht="42" thickBot="1" x14ac:dyDescent="0.35">
      <c r="A734" s="1" t="s">
        <v>12</v>
      </c>
      <c r="B734" s="1">
        <v>3361</v>
      </c>
      <c r="C734" s="1" t="s">
        <v>4542</v>
      </c>
      <c r="D734" s="2" t="s">
        <v>4543</v>
      </c>
      <c r="E734" s="1" t="s">
        <v>29</v>
      </c>
      <c r="F734" s="1" t="s">
        <v>14</v>
      </c>
      <c r="G734" s="1" t="s">
        <v>15</v>
      </c>
      <c r="H734" s="1" t="s">
        <v>16</v>
      </c>
      <c r="I734" s="1" t="s">
        <v>4544</v>
      </c>
      <c r="J734" s="2" t="s">
        <v>4545</v>
      </c>
      <c r="K734" s="2" t="s">
        <v>4546</v>
      </c>
      <c r="L734" s="2" t="s">
        <v>4547</v>
      </c>
      <c r="M734" s="3" t="str">
        <f>VLOOKUP(G734,справочник!$B$1:$C$94,2,0)</f>
        <v>МСК</v>
      </c>
    </row>
    <row r="735" spans="1:13" ht="42" thickBot="1" x14ac:dyDescent="0.35">
      <c r="A735" s="1" t="s">
        <v>146</v>
      </c>
      <c r="B735" s="1">
        <v>1848</v>
      </c>
      <c r="C735" s="1" t="s">
        <v>4548</v>
      </c>
      <c r="D735" s="2" t="s">
        <v>4549</v>
      </c>
      <c r="E735" s="1" t="s">
        <v>20</v>
      </c>
      <c r="F735" s="1" t="s">
        <v>14</v>
      </c>
      <c r="G735" s="1" t="s">
        <v>15</v>
      </c>
      <c r="H735" s="1" t="s">
        <v>16</v>
      </c>
      <c r="I735" s="1" t="s">
        <v>4550</v>
      </c>
      <c r="J735" s="2" t="s">
        <v>4551</v>
      </c>
      <c r="K735" s="2" t="s">
        <v>4552</v>
      </c>
      <c r="L735" s="2" t="s">
        <v>4553</v>
      </c>
      <c r="M735" s="3" t="str">
        <f>VLOOKUP(G735,справочник!$B$1:$C$94,2,0)</f>
        <v>МСК</v>
      </c>
    </row>
    <row r="736" spans="1:13" ht="55.8" thickBot="1" x14ac:dyDescent="0.35">
      <c r="A736" s="1" t="s">
        <v>12</v>
      </c>
      <c r="B736" s="1">
        <v>2888</v>
      </c>
      <c r="C736" s="1" t="s">
        <v>4554</v>
      </c>
      <c r="D736" s="2" t="s">
        <v>4555</v>
      </c>
      <c r="E736" s="1" t="s">
        <v>29</v>
      </c>
      <c r="F736" s="1" t="s">
        <v>36</v>
      </c>
      <c r="G736" s="1" t="s">
        <v>4556</v>
      </c>
      <c r="H736" s="1" t="s">
        <v>4557</v>
      </c>
      <c r="I736" s="1" t="s">
        <v>4558</v>
      </c>
      <c r="J736" s="2" t="s">
        <v>4559</v>
      </c>
      <c r="K736" s="2" t="s">
        <v>4560</v>
      </c>
      <c r="L736" s="2" t="s">
        <v>4561</v>
      </c>
      <c r="M736" s="3" t="str">
        <f>VLOOKUP(G736,справочник!$B$1:$C$94,2,0)</f>
        <v>МСК+3</v>
      </c>
    </row>
    <row r="737" spans="1:13" ht="42" thickBot="1" x14ac:dyDescent="0.35">
      <c r="A737" s="1" t="s">
        <v>12</v>
      </c>
      <c r="B737" s="1">
        <v>3993</v>
      </c>
      <c r="C737" s="1" t="s">
        <v>4562</v>
      </c>
      <c r="D737" s="2" t="s">
        <v>4563</v>
      </c>
      <c r="E737" s="1" t="s">
        <v>29</v>
      </c>
      <c r="F737" s="1" t="s">
        <v>36</v>
      </c>
      <c r="G737" s="1" t="s">
        <v>4556</v>
      </c>
      <c r="H737" s="1" t="s">
        <v>4557</v>
      </c>
      <c r="I737" s="1" t="s">
        <v>4564</v>
      </c>
      <c r="J737" s="2" t="s">
        <v>4565</v>
      </c>
      <c r="K737" s="2" t="s">
        <v>4566</v>
      </c>
      <c r="L737" s="2" t="s">
        <v>4567</v>
      </c>
      <c r="M737" s="3" t="str">
        <f>VLOOKUP(G737,справочник!$B$1:$C$94,2,0)</f>
        <v>МСК+3</v>
      </c>
    </row>
    <row r="738" spans="1:13" ht="42" thickBot="1" x14ac:dyDescent="0.35">
      <c r="A738" s="1" t="s">
        <v>261</v>
      </c>
      <c r="B738" s="1">
        <v>570</v>
      </c>
      <c r="C738" s="1" t="s">
        <v>4568</v>
      </c>
      <c r="D738" s="2" t="s">
        <v>4569</v>
      </c>
      <c r="E738" s="1" t="s">
        <v>29</v>
      </c>
      <c r="F738" s="1" t="s">
        <v>36</v>
      </c>
      <c r="G738" s="1" t="s">
        <v>4556</v>
      </c>
      <c r="H738" s="1" t="s">
        <v>4557</v>
      </c>
      <c r="I738" s="1" t="s">
        <v>4570</v>
      </c>
      <c r="J738" s="2" t="s">
        <v>4571</v>
      </c>
      <c r="K738" s="2" t="s">
        <v>4572</v>
      </c>
      <c r="L738" s="2" t="s">
        <v>4573</v>
      </c>
      <c r="M738" s="3" t="str">
        <f>VLOOKUP(G738,справочник!$B$1:$C$94,2,0)</f>
        <v>МСК+3</v>
      </c>
    </row>
    <row r="739" spans="1:13" ht="42" thickBot="1" x14ac:dyDescent="0.35">
      <c r="A739" s="1" t="s">
        <v>131</v>
      </c>
      <c r="B739" s="1">
        <v>671</v>
      </c>
      <c r="C739" s="1" t="s">
        <v>4574</v>
      </c>
      <c r="D739" s="2" t="s">
        <v>4575</v>
      </c>
      <c r="E739" s="1" t="s">
        <v>29</v>
      </c>
      <c r="F739" s="1" t="s">
        <v>36</v>
      </c>
      <c r="G739" s="1" t="s">
        <v>4556</v>
      </c>
      <c r="H739" s="1" t="s">
        <v>4557</v>
      </c>
      <c r="I739" s="1" t="s">
        <v>4576</v>
      </c>
      <c r="J739" s="2" t="s">
        <v>4577</v>
      </c>
      <c r="K739" s="2" t="s">
        <v>4578</v>
      </c>
      <c r="L739" s="2" t="s">
        <v>4579</v>
      </c>
      <c r="M739" s="3" t="str">
        <f>VLOOKUP(G739,справочник!$B$1:$C$94,2,0)</f>
        <v>МСК+3</v>
      </c>
    </row>
    <row r="740" spans="1:13" ht="42" thickBot="1" x14ac:dyDescent="0.35">
      <c r="A740" s="1" t="s">
        <v>168</v>
      </c>
      <c r="B740" s="1">
        <v>135</v>
      </c>
      <c r="C740" s="1" t="s">
        <v>4580</v>
      </c>
      <c r="D740" s="2" t="s">
        <v>4581</v>
      </c>
      <c r="E740" s="1" t="s">
        <v>29</v>
      </c>
      <c r="F740" s="1" t="s">
        <v>36</v>
      </c>
      <c r="G740" s="1" t="s">
        <v>4556</v>
      </c>
      <c r="H740" s="1" t="s">
        <v>4557</v>
      </c>
      <c r="I740" s="1" t="s">
        <v>4584</v>
      </c>
      <c r="J740" s="2" t="s">
        <v>4585</v>
      </c>
      <c r="K740" s="2" t="s">
        <v>4582</v>
      </c>
      <c r="L740" s="2" t="s">
        <v>4583</v>
      </c>
      <c r="M740" s="3" t="str">
        <f>VLOOKUP(G740,справочник!$B$1:$C$94,2,0)</f>
        <v>МСК+3</v>
      </c>
    </row>
    <row r="741" spans="1:13" ht="42" thickBot="1" x14ac:dyDescent="0.35">
      <c r="A741" s="1" t="s">
        <v>146</v>
      </c>
      <c r="B741" s="1">
        <v>136</v>
      </c>
      <c r="C741" s="1" t="s">
        <v>4586</v>
      </c>
      <c r="D741" s="2" t="s">
        <v>4587</v>
      </c>
      <c r="E741" s="1" t="s">
        <v>29</v>
      </c>
      <c r="F741" s="1" t="s">
        <v>36</v>
      </c>
      <c r="G741" s="1" t="s">
        <v>4556</v>
      </c>
      <c r="H741" s="1" t="s">
        <v>4557</v>
      </c>
      <c r="I741" s="1" t="s">
        <v>4588</v>
      </c>
      <c r="J741" s="2" t="s">
        <v>4589</v>
      </c>
      <c r="K741" s="2" t="s">
        <v>4590</v>
      </c>
      <c r="L741" s="2" t="s">
        <v>4591</v>
      </c>
      <c r="M741" s="3" t="str">
        <f>VLOOKUP(G741,справочник!$B$1:$C$94,2,0)</f>
        <v>МСК+3</v>
      </c>
    </row>
    <row r="742" spans="1:13" ht="42" thickBot="1" x14ac:dyDescent="0.35">
      <c r="A742" s="1" t="s">
        <v>146</v>
      </c>
      <c r="B742" s="1">
        <v>137</v>
      </c>
      <c r="C742" s="1" t="s">
        <v>4592</v>
      </c>
      <c r="D742" s="2" t="s">
        <v>4593</v>
      </c>
      <c r="E742" s="1" t="s">
        <v>29</v>
      </c>
      <c r="F742" s="1" t="s">
        <v>36</v>
      </c>
      <c r="G742" s="1" t="s">
        <v>4556</v>
      </c>
      <c r="H742" s="1" t="s">
        <v>4557</v>
      </c>
      <c r="I742" s="1" t="s">
        <v>4594</v>
      </c>
      <c r="J742" s="2" t="s">
        <v>4595</v>
      </c>
      <c r="K742" s="2" t="s">
        <v>4596</v>
      </c>
      <c r="L742" s="2" t="s">
        <v>4597</v>
      </c>
      <c r="M742" s="3" t="str">
        <f>VLOOKUP(G742,справочник!$B$1:$C$94,2,0)</f>
        <v>МСК+3</v>
      </c>
    </row>
    <row r="743" spans="1:13" ht="42" thickBot="1" x14ac:dyDescent="0.35">
      <c r="A743" s="1" t="s">
        <v>1443</v>
      </c>
      <c r="B743" s="1">
        <v>675</v>
      </c>
      <c r="C743" s="1" t="s">
        <v>4598</v>
      </c>
      <c r="D743" s="2" t="s">
        <v>4599</v>
      </c>
      <c r="E743" s="1" t="s">
        <v>29</v>
      </c>
      <c r="F743" s="1" t="s">
        <v>36</v>
      </c>
      <c r="G743" s="1" t="s">
        <v>4556</v>
      </c>
      <c r="H743" s="1" t="s">
        <v>4557</v>
      </c>
      <c r="I743" s="1" t="s">
        <v>4601</v>
      </c>
      <c r="J743" s="2" t="s">
        <v>334</v>
      </c>
      <c r="K743" s="2" t="s">
        <v>4602</v>
      </c>
      <c r="L743" s="2" t="s">
        <v>4600</v>
      </c>
      <c r="M743" s="3" t="str">
        <f>VLOOKUP(G743,справочник!$B$1:$C$94,2,0)</f>
        <v>МСК+3</v>
      </c>
    </row>
    <row r="744" spans="1:13" ht="55.8" thickBot="1" x14ac:dyDescent="0.35">
      <c r="A744" s="1" t="s">
        <v>146</v>
      </c>
      <c r="B744" s="1">
        <v>2166</v>
      </c>
      <c r="C744" s="1" t="s">
        <v>4603</v>
      </c>
      <c r="D744" s="2" t="s">
        <v>4604</v>
      </c>
      <c r="E744" s="1" t="s">
        <v>20</v>
      </c>
      <c r="F744" s="1" t="s">
        <v>14</v>
      </c>
      <c r="G744" s="1" t="s">
        <v>15</v>
      </c>
      <c r="H744" s="1" t="s">
        <v>16</v>
      </c>
      <c r="I744" s="1" t="s">
        <v>4606</v>
      </c>
      <c r="J744" s="2" t="s">
        <v>4607</v>
      </c>
      <c r="K744" s="2" t="s">
        <v>4608</v>
      </c>
      <c r="L744" s="2" t="s">
        <v>4605</v>
      </c>
      <c r="M744" s="3" t="str">
        <f>VLOOKUP(G744,справочник!$B$1:$C$94,2,0)</f>
        <v>МСК</v>
      </c>
    </row>
    <row r="745" spans="1:13" ht="55.8" thickBot="1" x14ac:dyDescent="0.35">
      <c r="A745" s="1" t="s">
        <v>146</v>
      </c>
      <c r="B745" s="1">
        <v>2658</v>
      </c>
      <c r="C745" s="1" t="s">
        <v>4609</v>
      </c>
      <c r="D745" s="2" t="s">
        <v>4610</v>
      </c>
      <c r="E745" s="1" t="s">
        <v>20</v>
      </c>
      <c r="F745" s="1" t="s">
        <v>14</v>
      </c>
      <c r="G745" s="1" t="s">
        <v>15</v>
      </c>
      <c r="H745" s="1" t="s">
        <v>1764</v>
      </c>
      <c r="I745" s="1" t="s">
        <v>4613</v>
      </c>
      <c r="J745" s="2" t="s">
        <v>4614</v>
      </c>
      <c r="K745" s="2" t="s">
        <v>4611</v>
      </c>
      <c r="L745" s="2" t="s">
        <v>4612</v>
      </c>
      <c r="M745" s="3" t="str">
        <f>VLOOKUP(G745,справочник!$B$1:$C$94,2,0)</f>
        <v>МСК</v>
      </c>
    </row>
    <row r="746" spans="1:13" ht="42" thickBot="1" x14ac:dyDescent="0.35">
      <c r="A746" s="1" t="s">
        <v>146</v>
      </c>
      <c r="B746" s="1">
        <v>2199</v>
      </c>
      <c r="C746" s="1" t="s">
        <v>4615</v>
      </c>
      <c r="D746" s="2" t="s">
        <v>4616</v>
      </c>
      <c r="E746" s="1" t="s">
        <v>20</v>
      </c>
      <c r="F746" s="1" t="s">
        <v>14</v>
      </c>
      <c r="G746" s="1" t="s">
        <v>15</v>
      </c>
      <c r="H746" s="1" t="s">
        <v>16</v>
      </c>
      <c r="I746" s="1" t="s">
        <v>4617</v>
      </c>
      <c r="J746" s="2" t="s">
        <v>4618</v>
      </c>
      <c r="K746" s="2" t="s">
        <v>4619</v>
      </c>
      <c r="L746" s="2" t="s">
        <v>4620</v>
      </c>
      <c r="M746" s="3" t="str">
        <f>VLOOKUP(G746,справочник!$B$1:$C$94,2,0)</f>
        <v>МСК</v>
      </c>
    </row>
    <row r="747" spans="1:13" ht="42" thickBot="1" x14ac:dyDescent="0.35">
      <c r="A747" s="1" t="s">
        <v>146</v>
      </c>
      <c r="B747" s="1">
        <v>2027</v>
      </c>
      <c r="C747" s="1" t="s">
        <v>4621</v>
      </c>
      <c r="D747" s="2" t="s">
        <v>4622</v>
      </c>
      <c r="E747" s="1" t="s">
        <v>20</v>
      </c>
      <c r="F747" s="1" t="s">
        <v>21</v>
      </c>
      <c r="G747" s="1" t="s">
        <v>1043</v>
      </c>
      <c r="H747" s="1" t="s">
        <v>4623</v>
      </c>
      <c r="I747" s="1" t="s">
        <v>4624</v>
      </c>
      <c r="J747" s="2" t="s">
        <v>922</v>
      </c>
      <c r="K747" s="2" t="s">
        <v>4625</v>
      </c>
      <c r="L747" s="2" t="s">
        <v>4626</v>
      </c>
      <c r="M747" s="3" t="str">
        <f>VLOOKUP(G747,справочник!$B$1:$C$94,2,0)</f>
        <v>МСК</v>
      </c>
    </row>
    <row r="748" spans="1:13" ht="42" thickBot="1" x14ac:dyDescent="0.35">
      <c r="A748" s="1" t="s">
        <v>12</v>
      </c>
      <c r="B748" s="1">
        <v>3228</v>
      </c>
      <c r="C748" s="1" t="s">
        <v>4627</v>
      </c>
      <c r="D748" s="2" t="s">
        <v>4628</v>
      </c>
      <c r="E748" s="1" t="s">
        <v>29</v>
      </c>
      <c r="F748" s="1" t="s">
        <v>222</v>
      </c>
      <c r="G748" s="1" t="s">
        <v>4629</v>
      </c>
      <c r="H748" s="1" t="s">
        <v>4631</v>
      </c>
      <c r="I748" s="1" t="s">
        <v>4632</v>
      </c>
      <c r="J748" s="2" t="s">
        <v>4633</v>
      </c>
      <c r="K748" s="2" t="s">
        <v>4630</v>
      </c>
      <c r="L748" s="2" t="s">
        <v>4634</v>
      </c>
      <c r="M748" s="3" t="str">
        <f>VLOOKUP(G748,справочник!$B$1:$C$94,2,0)</f>
        <v>МСК+2</v>
      </c>
    </row>
    <row r="749" spans="1:13" ht="42" thickBot="1" x14ac:dyDescent="0.35">
      <c r="A749" s="1" t="s">
        <v>261</v>
      </c>
      <c r="B749" s="1">
        <v>1192</v>
      </c>
      <c r="C749" s="1" t="s">
        <v>4635</v>
      </c>
      <c r="D749" s="2" t="s">
        <v>4636</v>
      </c>
      <c r="E749" s="1" t="s">
        <v>29</v>
      </c>
      <c r="F749" s="1" t="s">
        <v>222</v>
      </c>
      <c r="G749" s="1" t="s">
        <v>4629</v>
      </c>
      <c r="H749" s="1" t="s">
        <v>4631</v>
      </c>
      <c r="I749" s="1" t="s">
        <v>4638</v>
      </c>
      <c r="J749" s="2" t="s">
        <v>4639</v>
      </c>
      <c r="K749" s="2" t="s">
        <v>4640</v>
      </c>
      <c r="L749" s="2" t="s">
        <v>4637</v>
      </c>
      <c r="M749" s="3" t="str">
        <f>VLOOKUP(G749,справочник!$B$1:$C$94,2,0)</f>
        <v>МСК+2</v>
      </c>
    </row>
    <row r="750" spans="1:13" ht="42" thickBot="1" x14ac:dyDescent="0.35">
      <c r="A750" s="1" t="s">
        <v>54</v>
      </c>
      <c r="B750" s="1">
        <v>3328</v>
      </c>
      <c r="C750" s="1" t="s">
        <v>4641</v>
      </c>
      <c r="D750" s="2" t="s">
        <v>4642</v>
      </c>
      <c r="E750" s="1" t="s">
        <v>29</v>
      </c>
      <c r="F750" s="1" t="s">
        <v>222</v>
      </c>
      <c r="G750" s="1" t="s">
        <v>4629</v>
      </c>
      <c r="H750" s="1" t="s">
        <v>4631</v>
      </c>
      <c r="I750" s="1" t="s">
        <v>4644</v>
      </c>
      <c r="J750" s="2" t="s">
        <v>4645</v>
      </c>
      <c r="K750" s="2" t="s">
        <v>4646</v>
      </c>
      <c r="L750" s="2" t="s">
        <v>4643</v>
      </c>
      <c r="M750" s="3" t="str">
        <f>VLOOKUP(G750,справочник!$B$1:$C$94,2,0)</f>
        <v>МСК+2</v>
      </c>
    </row>
    <row r="751" spans="1:13" ht="42" thickBot="1" x14ac:dyDescent="0.35">
      <c r="A751" s="1" t="s">
        <v>131</v>
      </c>
      <c r="B751" s="1">
        <v>650</v>
      </c>
      <c r="C751" s="1" t="s">
        <v>4647</v>
      </c>
      <c r="D751" s="2" t="s">
        <v>4648</v>
      </c>
      <c r="E751" s="1" t="s">
        <v>29</v>
      </c>
      <c r="F751" s="1" t="s">
        <v>222</v>
      </c>
      <c r="G751" s="1" t="s">
        <v>4629</v>
      </c>
      <c r="H751" s="1" t="s">
        <v>4631</v>
      </c>
      <c r="I751" s="1" t="s">
        <v>4650</v>
      </c>
      <c r="J751" s="2" t="s">
        <v>334</v>
      </c>
      <c r="K751" s="2" t="s">
        <v>4651</v>
      </c>
      <c r="L751" s="2" t="s">
        <v>4649</v>
      </c>
      <c r="M751" s="3" t="str">
        <f>VLOOKUP(G751,справочник!$B$1:$C$94,2,0)</f>
        <v>МСК+2</v>
      </c>
    </row>
    <row r="752" spans="1:13" ht="42" thickBot="1" x14ac:dyDescent="0.35">
      <c r="A752" s="1" t="s">
        <v>168</v>
      </c>
      <c r="B752" s="1">
        <v>138</v>
      </c>
      <c r="C752" s="1" t="s">
        <v>4652</v>
      </c>
      <c r="D752" s="2" t="s">
        <v>4653</v>
      </c>
      <c r="E752" s="1" t="s">
        <v>29</v>
      </c>
      <c r="F752" s="1" t="s">
        <v>222</v>
      </c>
      <c r="G752" s="1" t="s">
        <v>4629</v>
      </c>
      <c r="H752" s="1" t="s">
        <v>4654</v>
      </c>
      <c r="I752" s="1" t="s">
        <v>4655</v>
      </c>
      <c r="J752" s="2" t="s">
        <v>1494</v>
      </c>
      <c r="K752" s="2" t="s">
        <v>4656</v>
      </c>
      <c r="L752" s="2" t="s">
        <v>4657</v>
      </c>
      <c r="M752" s="3" t="str">
        <f>VLOOKUP(G752,справочник!$B$1:$C$94,2,0)</f>
        <v>МСК+2</v>
      </c>
    </row>
    <row r="753" spans="1:13" ht="42" thickBot="1" x14ac:dyDescent="0.35">
      <c r="A753" s="1" t="s">
        <v>146</v>
      </c>
      <c r="B753" s="1">
        <v>139</v>
      </c>
      <c r="C753" s="1" t="s">
        <v>4658</v>
      </c>
      <c r="D753" s="2" t="s">
        <v>4659</v>
      </c>
      <c r="E753" s="1" t="s">
        <v>29</v>
      </c>
      <c r="F753" s="1" t="s">
        <v>222</v>
      </c>
      <c r="G753" s="1" t="s">
        <v>4629</v>
      </c>
      <c r="H753" s="1" t="s">
        <v>4631</v>
      </c>
      <c r="I753" s="1" t="s">
        <v>4660</v>
      </c>
      <c r="J753" s="2" t="s">
        <v>4661</v>
      </c>
      <c r="K753" s="2" t="s">
        <v>4662</v>
      </c>
      <c r="L753" s="2" t="s">
        <v>4663</v>
      </c>
      <c r="M753" s="3" t="str">
        <f>VLOOKUP(G753,справочник!$B$1:$C$94,2,0)</f>
        <v>МСК+2</v>
      </c>
    </row>
    <row r="754" spans="1:13" ht="42" thickBot="1" x14ac:dyDescent="0.35">
      <c r="A754" s="1" t="s">
        <v>146</v>
      </c>
      <c r="B754" s="1">
        <v>2158</v>
      </c>
      <c r="C754" s="1" t="s">
        <v>4664</v>
      </c>
      <c r="D754" s="2" t="s">
        <v>4665</v>
      </c>
      <c r="E754" s="1" t="s">
        <v>20</v>
      </c>
      <c r="F754" s="1" t="s">
        <v>222</v>
      </c>
      <c r="G754" s="1" t="s">
        <v>4629</v>
      </c>
      <c r="H754" s="1" t="s">
        <v>4631</v>
      </c>
      <c r="I754" s="1" t="s">
        <v>4667</v>
      </c>
      <c r="J754" s="2" t="s">
        <v>381</v>
      </c>
      <c r="K754" s="2" t="s">
        <v>4668</v>
      </c>
      <c r="L754" s="2" t="s">
        <v>4666</v>
      </c>
      <c r="M754" s="3" t="str">
        <f>VLOOKUP(G754,справочник!$B$1:$C$94,2,0)</f>
        <v>МСК+2</v>
      </c>
    </row>
    <row r="755" spans="1:13" ht="42" thickBot="1" x14ac:dyDescent="0.35">
      <c r="A755" s="1" t="s">
        <v>146</v>
      </c>
      <c r="B755" s="1">
        <v>737</v>
      </c>
      <c r="C755" s="1" t="s">
        <v>4669</v>
      </c>
      <c r="D755" s="2" t="s">
        <v>4670</v>
      </c>
      <c r="E755" s="1" t="s">
        <v>29</v>
      </c>
      <c r="F755" s="1" t="s">
        <v>14</v>
      </c>
      <c r="G755" s="1" t="s">
        <v>1015</v>
      </c>
      <c r="H755" s="1" t="s">
        <v>4672</v>
      </c>
      <c r="I755" s="1" t="s">
        <v>4673</v>
      </c>
      <c r="J755" s="2" t="s">
        <v>922</v>
      </c>
      <c r="K755" s="2" t="s">
        <v>4674</v>
      </c>
      <c r="L755" s="2" t="s">
        <v>4671</v>
      </c>
      <c r="M755" s="3" t="str">
        <f>VLOOKUP(G755,справочник!$B$1:$C$94,2,0)</f>
        <v>МСК</v>
      </c>
    </row>
    <row r="756" spans="1:13" ht="97.2" thickBot="1" x14ac:dyDescent="0.35">
      <c r="A756" s="1" t="s">
        <v>177</v>
      </c>
      <c r="B756" s="1">
        <v>532</v>
      </c>
      <c r="C756" s="1" t="s">
        <v>4675</v>
      </c>
      <c r="D756" s="2" t="s">
        <v>4676</v>
      </c>
      <c r="E756" s="1" t="s">
        <v>29</v>
      </c>
      <c r="F756" s="1" t="s">
        <v>14</v>
      </c>
      <c r="G756" s="1" t="s">
        <v>1015</v>
      </c>
      <c r="H756" s="1" t="s">
        <v>4672</v>
      </c>
      <c r="I756" s="1" t="s">
        <v>4679</v>
      </c>
      <c r="J756" s="2" t="s">
        <v>4680</v>
      </c>
      <c r="K756" s="2" t="s">
        <v>4677</v>
      </c>
      <c r="L756" s="2" t="s">
        <v>4678</v>
      </c>
      <c r="M756" s="3" t="str">
        <f>VLOOKUP(G756,справочник!$B$1:$C$94,2,0)</f>
        <v>МСК</v>
      </c>
    </row>
    <row r="757" spans="1:13" ht="42" thickBot="1" x14ac:dyDescent="0.35">
      <c r="A757" s="1" t="s">
        <v>146</v>
      </c>
      <c r="B757" s="1">
        <v>142</v>
      </c>
      <c r="C757" s="1" t="s">
        <v>4681</v>
      </c>
      <c r="D757" s="2" t="s">
        <v>4682</v>
      </c>
      <c r="E757" s="1" t="s">
        <v>29</v>
      </c>
      <c r="F757" s="1" t="s">
        <v>14</v>
      </c>
      <c r="G757" s="1" t="s">
        <v>1015</v>
      </c>
      <c r="H757" s="1" t="s">
        <v>4672</v>
      </c>
      <c r="I757" s="1" t="s">
        <v>4683</v>
      </c>
      <c r="J757" s="2" t="s">
        <v>867</v>
      </c>
      <c r="K757" s="2" t="s">
        <v>4684</v>
      </c>
      <c r="L757" s="2" t="s">
        <v>4685</v>
      </c>
      <c r="M757" s="3" t="str">
        <f>VLOOKUP(G757,справочник!$B$1:$C$94,2,0)</f>
        <v>МСК</v>
      </c>
    </row>
    <row r="758" spans="1:13" ht="28.2" thickBot="1" x14ac:dyDescent="0.35">
      <c r="A758" s="1" t="s">
        <v>12</v>
      </c>
      <c r="B758" s="1">
        <v>2184</v>
      </c>
      <c r="C758" s="1" t="s">
        <v>4686</v>
      </c>
      <c r="D758" s="2" t="s">
        <v>4687</v>
      </c>
      <c r="E758" s="1" t="s">
        <v>29</v>
      </c>
      <c r="F758" s="1" t="s">
        <v>14</v>
      </c>
      <c r="G758" s="1" t="s">
        <v>15</v>
      </c>
      <c r="H758" s="1" t="s">
        <v>16</v>
      </c>
      <c r="I758" s="1" t="s">
        <v>4690</v>
      </c>
      <c r="J758" s="2" t="s">
        <v>1923</v>
      </c>
      <c r="K758" s="2" t="s">
        <v>4688</v>
      </c>
      <c r="L758" s="2" t="s">
        <v>4689</v>
      </c>
      <c r="M758" s="3" t="str">
        <f>VLOOKUP(G758,справочник!$B$1:$C$94,2,0)</f>
        <v>МСК</v>
      </c>
    </row>
    <row r="759" spans="1:13" ht="42" thickBot="1" x14ac:dyDescent="0.35">
      <c r="A759" s="1" t="s">
        <v>146</v>
      </c>
      <c r="B759" s="1">
        <v>2707</v>
      </c>
      <c r="C759" s="1" t="s">
        <v>4691</v>
      </c>
      <c r="D759" s="2" t="s">
        <v>4692</v>
      </c>
      <c r="E759" s="1" t="s">
        <v>20</v>
      </c>
      <c r="F759" s="1" t="s">
        <v>14</v>
      </c>
      <c r="G759" s="1" t="s">
        <v>15</v>
      </c>
      <c r="H759" s="1" t="s">
        <v>1764</v>
      </c>
      <c r="I759" s="1" t="s">
        <v>4694</v>
      </c>
      <c r="J759" s="2" t="s">
        <v>4695</v>
      </c>
      <c r="K759" s="2" t="s">
        <v>4696</v>
      </c>
      <c r="L759" s="2" t="s">
        <v>4693</v>
      </c>
      <c r="M759" s="3" t="str">
        <f>VLOOKUP(G759,справочник!$B$1:$C$94,2,0)</f>
        <v>МСК</v>
      </c>
    </row>
    <row r="760" spans="1:13" ht="42" thickBot="1" x14ac:dyDescent="0.35">
      <c r="A760" s="1" t="s">
        <v>261</v>
      </c>
      <c r="B760" s="1">
        <v>799</v>
      </c>
      <c r="C760" s="1" t="s">
        <v>4697</v>
      </c>
      <c r="D760" s="2" t="s">
        <v>4698</v>
      </c>
      <c r="E760" s="1" t="s">
        <v>29</v>
      </c>
      <c r="F760" s="1" t="s">
        <v>222</v>
      </c>
      <c r="G760" s="1" t="s">
        <v>4699</v>
      </c>
      <c r="H760" s="1" t="s">
        <v>4700</v>
      </c>
      <c r="I760" s="1" t="s">
        <v>4701</v>
      </c>
      <c r="J760" s="2" t="s">
        <v>4702</v>
      </c>
      <c r="K760" s="2" t="s">
        <v>4703</v>
      </c>
      <c r="L760" s="2" t="s">
        <v>4704</v>
      </c>
      <c r="M760" s="3" t="str">
        <f>VLOOKUP(G760,справочник!$B$1:$C$94,2,0)</f>
        <v>МСК</v>
      </c>
    </row>
    <row r="761" spans="1:13" ht="42" thickBot="1" x14ac:dyDescent="0.35">
      <c r="A761" s="1" t="s">
        <v>146</v>
      </c>
      <c r="B761" s="1">
        <v>143</v>
      </c>
      <c r="C761" s="1" t="s">
        <v>4705</v>
      </c>
      <c r="D761" s="2" t="s">
        <v>4706</v>
      </c>
      <c r="E761" s="1" t="s">
        <v>29</v>
      </c>
      <c r="F761" s="1" t="s">
        <v>222</v>
      </c>
      <c r="G761" s="1" t="s">
        <v>4699</v>
      </c>
      <c r="H761" s="1" t="s">
        <v>4700</v>
      </c>
      <c r="I761" s="1" t="s">
        <v>4707</v>
      </c>
      <c r="J761" s="2" t="s">
        <v>4708</v>
      </c>
      <c r="K761" s="2" t="s">
        <v>4709</v>
      </c>
      <c r="L761" s="2" t="s">
        <v>4710</v>
      </c>
      <c r="M761" s="3" t="str">
        <f>VLOOKUP(G761,справочник!$B$1:$C$94,2,0)</f>
        <v>МСК</v>
      </c>
    </row>
    <row r="762" spans="1:13" ht="42" thickBot="1" x14ac:dyDescent="0.35">
      <c r="A762" s="1" t="s">
        <v>146</v>
      </c>
      <c r="B762" s="1">
        <v>144</v>
      </c>
      <c r="C762" s="1" t="s">
        <v>4711</v>
      </c>
      <c r="D762" s="2" t="s">
        <v>4712</v>
      </c>
      <c r="E762" s="1" t="s">
        <v>29</v>
      </c>
      <c r="F762" s="1" t="s">
        <v>222</v>
      </c>
      <c r="G762" s="1" t="s">
        <v>4699</v>
      </c>
      <c r="H762" s="1" t="s">
        <v>4700</v>
      </c>
      <c r="I762" s="1" t="s">
        <v>4713</v>
      </c>
      <c r="J762" s="2" t="s">
        <v>1494</v>
      </c>
      <c r="K762" s="2" t="s">
        <v>4714</v>
      </c>
      <c r="L762" s="2" t="s">
        <v>4715</v>
      </c>
      <c r="M762" s="3" t="str">
        <f>VLOOKUP(G762,справочник!$B$1:$C$94,2,0)</f>
        <v>МСК</v>
      </c>
    </row>
    <row r="763" spans="1:13" ht="42" thickBot="1" x14ac:dyDescent="0.35">
      <c r="A763" s="1" t="s">
        <v>146</v>
      </c>
      <c r="B763" s="1">
        <v>145</v>
      </c>
      <c r="C763" s="1" t="s">
        <v>4716</v>
      </c>
      <c r="D763" s="2" t="s">
        <v>4717</v>
      </c>
      <c r="E763" s="1" t="s">
        <v>29</v>
      </c>
      <c r="F763" s="1" t="s">
        <v>222</v>
      </c>
      <c r="G763" s="1" t="s">
        <v>4699</v>
      </c>
      <c r="H763" s="1" t="s">
        <v>4700</v>
      </c>
      <c r="I763" s="1" t="s">
        <v>4718</v>
      </c>
      <c r="J763" s="2" t="s">
        <v>4719</v>
      </c>
      <c r="K763" s="2" t="s">
        <v>4720</v>
      </c>
      <c r="L763" s="2" t="s">
        <v>4721</v>
      </c>
      <c r="M763" s="3" t="str">
        <f>VLOOKUP(G763,справочник!$B$1:$C$94,2,0)</f>
        <v>МСК</v>
      </c>
    </row>
    <row r="764" spans="1:13" ht="69.599999999999994" thickBot="1" x14ac:dyDescent="0.35">
      <c r="A764" s="1" t="s">
        <v>131</v>
      </c>
      <c r="B764" s="1">
        <v>788</v>
      </c>
      <c r="C764" s="1" t="s">
        <v>4722</v>
      </c>
      <c r="D764" s="2" t="s">
        <v>4723</v>
      </c>
      <c r="E764" s="1" t="s">
        <v>29</v>
      </c>
      <c r="F764" s="1" t="s">
        <v>14</v>
      </c>
      <c r="G764" s="1" t="s">
        <v>15</v>
      </c>
      <c r="H764" s="1" t="s">
        <v>16</v>
      </c>
      <c r="I764" s="1" t="s">
        <v>4724</v>
      </c>
      <c r="J764" s="2" t="s">
        <v>1906</v>
      </c>
      <c r="K764" s="2" t="s">
        <v>4725</v>
      </c>
      <c r="L764" s="2" t="s">
        <v>4726</v>
      </c>
      <c r="M764" s="3" t="str">
        <f>VLOOKUP(G764,справочник!$B$1:$C$94,2,0)</f>
        <v>МСК</v>
      </c>
    </row>
    <row r="765" spans="1:13" ht="55.8" thickBot="1" x14ac:dyDescent="0.35">
      <c r="A765" s="1" t="s">
        <v>131</v>
      </c>
      <c r="B765" s="1">
        <v>566</v>
      </c>
      <c r="C765" s="1" t="s">
        <v>4727</v>
      </c>
      <c r="D765" s="2" t="s">
        <v>4728</v>
      </c>
      <c r="E765" s="1" t="s">
        <v>29</v>
      </c>
      <c r="F765" s="1" t="s">
        <v>30</v>
      </c>
      <c r="G765" s="1" t="s">
        <v>31</v>
      </c>
      <c r="H765" s="1" t="s">
        <v>32</v>
      </c>
      <c r="I765" s="1" t="s">
        <v>4730</v>
      </c>
      <c r="J765" s="2" t="s">
        <v>4731</v>
      </c>
      <c r="K765" s="2" t="s">
        <v>4732</v>
      </c>
      <c r="L765" s="2" t="s">
        <v>4729</v>
      </c>
      <c r="M765" s="3" t="str">
        <f>VLOOKUP(G765,справочник!$B$1:$C$94,2,0)</f>
        <v>МСК</v>
      </c>
    </row>
    <row r="766" spans="1:13" ht="42" thickBot="1" x14ac:dyDescent="0.35">
      <c r="A766" s="1" t="s">
        <v>146</v>
      </c>
      <c r="B766" s="1">
        <v>1005</v>
      </c>
      <c r="C766" s="1" t="s">
        <v>4733</v>
      </c>
      <c r="D766" s="2" t="s">
        <v>4734</v>
      </c>
      <c r="E766" s="1" t="s">
        <v>29</v>
      </c>
      <c r="F766" s="1" t="s">
        <v>222</v>
      </c>
      <c r="G766" s="1" t="s">
        <v>1637</v>
      </c>
      <c r="H766" s="1" t="s">
        <v>1638</v>
      </c>
      <c r="I766" s="1" t="s">
        <v>4735</v>
      </c>
      <c r="J766" s="2" t="s">
        <v>4736</v>
      </c>
      <c r="K766" s="2" t="s">
        <v>4737</v>
      </c>
      <c r="L766" s="2" t="s">
        <v>4738</v>
      </c>
      <c r="M766" s="3" t="str">
        <f>VLOOKUP(G766,справочник!$B$1:$C$94,2,0)</f>
        <v>МСК+2</v>
      </c>
    </row>
    <row r="767" spans="1:13" ht="42" thickBot="1" x14ac:dyDescent="0.35">
      <c r="A767" s="1" t="s">
        <v>168</v>
      </c>
      <c r="B767" s="1">
        <v>146</v>
      </c>
      <c r="C767" s="1" t="s">
        <v>4739</v>
      </c>
      <c r="D767" s="2" t="s">
        <v>4740</v>
      </c>
      <c r="E767" s="1" t="s">
        <v>29</v>
      </c>
      <c r="F767" s="1" t="s">
        <v>222</v>
      </c>
      <c r="G767" s="1" t="s">
        <v>1637</v>
      </c>
      <c r="H767" s="1" t="s">
        <v>1638</v>
      </c>
      <c r="I767" s="1" t="s">
        <v>4741</v>
      </c>
      <c r="J767" s="2" t="s">
        <v>4742</v>
      </c>
      <c r="K767" s="2" t="s">
        <v>4743</v>
      </c>
      <c r="L767" s="2" t="s">
        <v>4744</v>
      </c>
      <c r="M767" s="3" t="str">
        <f>VLOOKUP(G767,справочник!$B$1:$C$94,2,0)</f>
        <v>МСК+2</v>
      </c>
    </row>
    <row r="768" spans="1:13" ht="42" thickBot="1" x14ac:dyDescent="0.35">
      <c r="A768" s="1" t="s">
        <v>177</v>
      </c>
      <c r="B768" s="1">
        <v>767</v>
      </c>
      <c r="C768" s="1" t="s">
        <v>4745</v>
      </c>
      <c r="D768" s="2" t="s">
        <v>4746</v>
      </c>
      <c r="E768" s="1" t="s">
        <v>29</v>
      </c>
      <c r="F768" s="1" t="s">
        <v>222</v>
      </c>
      <c r="G768" s="1" t="s">
        <v>1637</v>
      </c>
      <c r="H768" s="1" t="s">
        <v>1638</v>
      </c>
      <c r="I768" s="1" t="s">
        <v>4747</v>
      </c>
      <c r="J768" s="2" t="s">
        <v>4748</v>
      </c>
      <c r="K768" s="2" t="s">
        <v>4749</v>
      </c>
      <c r="L768" s="2" t="s">
        <v>4750</v>
      </c>
      <c r="M768" s="3" t="str">
        <f>VLOOKUP(G768,справочник!$B$1:$C$94,2,0)</f>
        <v>МСК+2</v>
      </c>
    </row>
    <row r="769" spans="1:13" ht="55.8" thickBot="1" x14ac:dyDescent="0.35">
      <c r="A769" s="1" t="s">
        <v>131</v>
      </c>
      <c r="B769" s="1">
        <v>603</v>
      </c>
      <c r="C769" s="1" t="s">
        <v>4751</v>
      </c>
      <c r="D769" s="2" t="s">
        <v>4752</v>
      </c>
      <c r="E769" s="1" t="s">
        <v>29</v>
      </c>
      <c r="F769" s="1" t="s">
        <v>222</v>
      </c>
      <c r="G769" s="1" t="s">
        <v>1637</v>
      </c>
      <c r="H769" s="1" t="s">
        <v>1638</v>
      </c>
      <c r="I769" s="1" t="s">
        <v>4753</v>
      </c>
      <c r="J769" s="2" t="s">
        <v>4754</v>
      </c>
      <c r="K769" s="2" t="s">
        <v>4755</v>
      </c>
      <c r="L769" s="2" t="s">
        <v>4756</v>
      </c>
      <c r="M769" s="3" t="str">
        <f>VLOOKUP(G769,справочник!$B$1:$C$94,2,0)</f>
        <v>МСК+2</v>
      </c>
    </row>
    <row r="770" spans="1:13" ht="42" thickBot="1" x14ac:dyDescent="0.35">
      <c r="A770" s="1" t="s">
        <v>146</v>
      </c>
      <c r="B770" s="1">
        <v>148</v>
      </c>
      <c r="C770" s="1" t="s">
        <v>4757</v>
      </c>
      <c r="D770" s="2" t="s">
        <v>4758</v>
      </c>
      <c r="E770" s="1" t="s">
        <v>29</v>
      </c>
      <c r="F770" s="1" t="s">
        <v>222</v>
      </c>
      <c r="G770" s="1" t="s">
        <v>1637</v>
      </c>
      <c r="H770" s="1" t="s">
        <v>1638</v>
      </c>
      <c r="I770" s="1" t="s">
        <v>4759</v>
      </c>
      <c r="J770" s="2" t="s">
        <v>4760</v>
      </c>
      <c r="K770" s="2" t="s">
        <v>4761</v>
      </c>
      <c r="L770" s="2" t="s">
        <v>4762</v>
      </c>
      <c r="M770" s="3" t="str">
        <f>VLOOKUP(G770,справочник!$B$1:$C$94,2,0)</f>
        <v>МСК+2</v>
      </c>
    </row>
    <row r="771" spans="1:13" ht="55.8" thickBot="1" x14ac:dyDescent="0.35">
      <c r="A771" s="1" t="s">
        <v>146</v>
      </c>
      <c r="B771" s="1">
        <v>147</v>
      </c>
      <c r="C771" s="1" t="s">
        <v>4763</v>
      </c>
      <c r="D771" s="2" t="s">
        <v>4764</v>
      </c>
      <c r="E771" s="1" t="s">
        <v>29</v>
      </c>
      <c r="F771" s="1" t="s">
        <v>222</v>
      </c>
      <c r="G771" s="1" t="s">
        <v>1637</v>
      </c>
      <c r="H771" s="1" t="s">
        <v>1638</v>
      </c>
      <c r="I771" s="1" t="s">
        <v>4765</v>
      </c>
      <c r="J771" s="2" t="s">
        <v>4766</v>
      </c>
      <c r="K771" s="2" t="s">
        <v>4767</v>
      </c>
      <c r="L771" s="2" t="s">
        <v>4768</v>
      </c>
      <c r="M771" s="3" t="str">
        <f>VLOOKUP(G771,справочник!$B$1:$C$94,2,0)</f>
        <v>МСК+2</v>
      </c>
    </row>
    <row r="772" spans="1:13" ht="42" thickBot="1" x14ac:dyDescent="0.35">
      <c r="A772" s="1" t="s">
        <v>146</v>
      </c>
      <c r="B772" s="1">
        <v>2292</v>
      </c>
      <c r="C772" s="1" t="s">
        <v>4769</v>
      </c>
      <c r="D772" s="2" t="s">
        <v>4770</v>
      </c>
      <c r="E772" s="1" t="s">
        <v>20</v>
      </c>
      <c r="F772" s="1" t="s">
        <v>222</v>
      </c>
      <c r="G772" s="1" t="s">
        <v>1637</v>
      </c>
      <c r="H772" s="1" t="s">
        <v>1638</v>
      </c>
      <c r="I772" s="1" t="s">
        <v>4773</v>
      </c>
      <c r="J772" s="2" t="s">
        <v>381</v>
      </c>
      <c r="K772" s="2" t="s">
        <v>4771</v>
      </c>
      <c r="L772" s="2" t="s">
        <v>4772</v>
      </c>
      <c r="M772" s="3" t="str">
        <f>VLOOKUP(G772,справочник!$B$1:$C$94,2,0)</f>
        <v>МСК+2</v>
      </c>
    </row>
    <row r="773" spans="1:13" ht="42" thickBot="1" x14ac:dyDescent="0.35">
      <c r="A773" s="1" t="s">
        <v>1443</v>
      </c>
      <c r="B773" s="1">
        <v>708</v>
      </c>
      <c r="C773" s="1" t="s">
        <v>4774</v>
      </c>
      <c r="D773" s="2" t="s">
        <v>4775</v>
      </c>
      <c r="E773" s="1" t="s">
        <v>29</v>
      </c>
      <c r="F773" s="1" t="s">
        <v>30</v>
      </c>
      <c r="G773" s="1" t="s">
        <v>31</v>
      </c>
      <c r="H773" s="1" t="s">
        <v>32</v>
      </c>
      <c r="I773" s="1" t="s">
        <v>4776</v>
      </c>
      <c r="J773" s="2" t="s">
        <v>4777</v>
      </c>
      <c r="K773" s="2" t="s">
        <v>4778</v>
      </c>
      <c r="L773" s="2" t="s">
        <v>4779</v>
      </c>
      <c r="M773" s="3" t="str">
        <f>VLOOKUP(G773,справочник!$B$1:$C$94,2,0)</f>
        <v>МСК</v>
      </c>
    </row>
    <row r="774" spans="1:13" ht="69.599999999999994" thickBot="1" x14ac:dyDescent="0.35">
      <c r="A774" s="1" t="s">
        <v>4780</v>
      </c>
      <c r="B774" s="1">
        <v>7777</v>
      </c>
      <c r="C774" s="1" t="s">
        <v>4781</v>
      </c>
      <c r="D774" s="2" t="s">
        <v>4782</v>
      </c>
      <c r="E774" s="1" t="s">
        <v>13</v>
      </c>
      <c r="F774" s="1" t="s">
        <v>30</v>
      </c>
      <c r="G774" s="1" t="s">
        <v>31</v>
      </c>
      <c r="H774" s="1" t="s">
        <v>32</v>
      </c>
      <c r="I774" s="1" t="s">
        <v>4784</v>
      </c>
      <c r="J774" s="2" t="s">
        <v>467</v>
      </c>
      <c r="K774" s="2" t="s">
        <v>4785</v>
      </c>
      <c r="L774" s="2" t="s">
        <v>4783</v>
      </c>
      <c r="M774" s="3" t="str">
        <f>VLOOKUP(G774,справочник!$B$1:$C$94,2,0)</f>
        <v>МСК</v>
      </c>
    </row>
    <row r="775" spans="1:13" ht="28.2" thickBot="1" x14ac:dyDescent="0.35">
      <c r="A775" s="1" t="s">
        <v>177</v>
      </c>
      <c r="B775" s="1">
        <v>732</v>
      </c>
      <c r="C775" s="1" t="s">
        <v>4786</v>
      </c>
      <c r="D775" s="2" t="s">
        <v>4787</v>
      </c>
      <c r="E775" s="1" t="s">
        <v>29</v>
      </c>
      <c r="F775" s="1" t="s">
        <v>30</v>
      </c>
      <c r="G775" s="1" t="s">
        <v>2988</v>
      </c>
      <c r="H775" s="1" t="s">
        <v>2989</v>
      </c>
      <c r="I775" s="1" t="s">
        <v>4789</v>
      </c>
      <c r="J775" s="2" t="s">
        <v>4790</v>
      </c>
      <c r="K775" s="2" t="s">
        <v>4791</v>
      </c>
      <c r="L775" s="2" t="s">
        <v>4788</v>
      </c>
      <c r="M775" s="3" t="str">
        <f>VLOOKUP(G775,справочник!$B$1:$C$94,2,0)</f>
        <v>МСК</v>
      </c>
    </row>
    <row r="776" spans="1:13" ht="83.4" thickBot="1" x14ac:dyDescent="0.35">
      <c r="A776" s="1" t="s">
        <v>146</v>
      </c>
      <c r="B776" s="1">
        <v>149</v>
      </c>
      <c r="C776" s="1" t="s">
        <v>4792</v>
      </c>
      <c r="D776" s="2" t="s">
        <v>4793</v>
      </c>
      <c r="E776" s="1" t="s">
        <v>29</v>
      </c>
      <c r="F776" s="1" t="s">
        <v>30</v>
      </c>
      <c r="G776" s="1" t="s">
        <v>2988</v>
      </c>
      <c r="H776" s="1" t="s">
        <v>2989</v>
      </c>
      <c r="I776" s="1" t="s">
        <v>4794</v>
      </c>
      <c r="J776" s="2" t="s">
        <v>4795</v>
      </c>
      <c r="K776" s="2" t="s">
        <v>4796</v>
      </c>
      <c r="L776" s="2" t="s">
        <v>4797</v>
      </c>
      <c r="M776" s="3" t="str">
        <f>VLOOKUP(G776,справочник!$B$1:$C$94,2,0)</f>
        <v>МСК</v>
      </c>
    </row>
    <row r="777" spans="1:13" ht="42" thickBot="1" x14ac:dyDescent="0.35">
      <c r="A777" s="1" t="s">
        <v>12</v>
      </c>
      <c r="B777" s="1">
        <v>3316</v>
      </c>
      <c r="C777" s="1" t="s">
        <v>4798</v>
      </c>
      <c r="D777" s="2" t="s">
        <v>4799</v>
      </c>
      <c r="E777" s="1" t="s">
        <v>29</v>
      </c>
      <c r="F777" s="1" t="s">
        <v>222</v>
      </c>
      <c r="G777" s="1" t="s">
        <v>740</v>
      </c>
      <c r="H777" s="1" t="s">
        <v>741</v>
      </c>
      <c r="I777" s="1" t="s">
        <v>4800</v>
      </c>
      <c r="J777" s="2" t="s">
        <v>467</v>
      </c>
      <c r="K777" s="2" t="s">
        <v>4801</v>
      </c>
      <c r="L777" s="2" t="s">
        <v>4802</v>
      </c>
      <c r="M777" s="3" t="str">
        <f>VLOOKUP(G777,справочник!$B$1:$C$94,2,0)</f>
        <v>МСК+1</v>
      </c>
    </row>
    <row r="778" spans="1:13" ht="42" thickBot="1" x14ac:dyDescent="0.35">
      <c r="A778" s="1" t="s">
        <v>146</v>
      </c>
      <c r="B778" s="1">
        <v>91</v>
      </c>
      <c r="C778" s="1" t="s">
        <v>4803</v>
      </c>
      <c r="D778" s="2" t="s">
        <v>4804</v>
      </c>
      <c r="E778" s="1" t="s">
        <v>29</v>
      </c>
      <c r="F778" s="1" t="s">
        <v>222</v>
      </c>
      <c r="G778" s="1" t="s">
        <v>3310</v>
      </c>
      <c r="H778" s="1" t="s">
        <v>3312</v>
      </c>
      <c r="I778" s="1" t="s">
        <v>4805</v>
      </c>
      <c r="J778" s="2" t="s">
        <v>4806</v>
      </c>
      <c r="K778" s="2" t="s">
        <v>4807</v>
      </c>
      <c r="L778" s="2" t="s">
        <v>4808</v>
      </c>
      <c r="M778" s="3" t="str">
        <f>VLOOKUP(G778,справочник!$B$1:$C$94,2,0)</f>
        <v>МСК</v>
      </c>
    </row>
    <row r="779" spans="1:13" ht="42" thickBot="1" x14ac:dyDescent="0.35">
      <c r="A779" s="1" t="s">
        <v>146</v>
      </c>
      <c r="B779" s="1">
        <v>151</v>
      </c>
      <c r="C779" s="1" t="s">
        <v>4809</v>
      </c>
      <c r="D779" s="2" t="s">
        <v>4810</v>
      </c>
      <c r="E779" s="1" t="s">
        <v>29</v>
      </c>
      <c r="F779" s="1" t="s">
        <v>222</v>
      </c>
      <c r="G779" s="1" t="s">
        <v>740</v>
      </c>
      <c r="H779" s="1" t="s">
        <v>741</v>
      </c>
      <c r="I779" s="1" t="s">
        <v>4812</v>
      </c>
      <c r="J779" s="2" t="s">
        <v>4813</v>
      </c>
      <c r="K779" s="2" t="s">
        <v>4811</v>
      </c>
      <c r="L779" s="2" t="s">
        <v>4814</v>
      </c>
      <c r="M779" s="3" t="str">
        <f>VLOOKUP(G779,справочник!$B$1:$C$94,2,0)</f>
        <v>МСК+1</v>
      </c>
    </row>
    <row r="780" spans="1:13" ht="42" thickBot="1" x14ac:dyDescent="0.35">
      <c r="A780" s="1" t="s">
        <v>3809</v>
      </c>
      <c r="B780" s="1">
        <v>635</v>
      </c>
      <c r="C780" s="1" t="s">
        <v>4815</v>
      </c>
      <c r="D780" s="2" t="s">
        <v>4816</v>
      </c>
      <c r="E780" s="1" t="s">
        <v>29</v>
      </c>
      <c r="F780" s="1" t="s">
        <v>222</v>
      </c>
      <c r="G780" s="1" t="s">
        <v>740</v>
      </c>
      <c r="H780" s="1" t="s">
        <v>3349</v>
      </c>
      <c r="I780" s="1" t="s">
        <v>4817</v>
      </c>
      <c r="J780" s="2" t="s">
        <v>4818</v>
      </c>
      <c r="K780" s="2" t="s">
        <v>4819</v>
      </c>
      <c r="L780" s="2" t="s">
        <v>4820</v>
      </c>
      <c r="M780" s="3" t="str">
        <f>VLOOKUP(G780,справочник!$B$1:$C$94,2,0)</f>
        <v>МСК+1</v>
      </c>
    </row>
    <row r="781" spans="1:13" ht="42" thickBot="1" x14ac:dyDescent="0.35">
      <c r="A781" s="1" t="s">
        <v>621</v>
      </c>
      <c r="B781" s="1">
        <v>627</v>
      </c>
      <c r="C781" s="1" t="s">
        <v>4821</v>
      </c>
      <c r="D781" s="2" t="s">
        <v>4822</v>
      </c>
      <c r="E781" s="1" t="s">
        <v>29</v>
      </c>
      <c r="F781" s="1" t="s">
        <v>222</v>
      </c>
      <c r="G781" s="1" t="s">
        <v>223</v>
      </c>
      <c r="H781" s="1" t="s">
        <v>224</v>
      </c>
      <c r="I781" s="1" t="s">
        <v>4824</v>
      </c>
      <c r="J781" s="2" t="s">
        <v>4825</v>
      </c>
      <c r="K781" s="2" t="s">
        <v>4826</v>
      </c>
      <c r="L781" s="2" t="s">
        <v>4823</v>
      </c>
      <c r="M781" s="3" t="str">
        <f>VLOOKUP(G781,справочник!$B$1:$C$94,2,0)</f>
        <v>МСК</v>
      </c>
    </row>
    <row r="782" spans="1:13" ht="42" thickBot="1" x14ac:dyDescent="0.35">
      <c r="A782" s="1" t="s">
        <v>146</v>
      </c>
      <c r="B782" s="1">
        <v>2146</v>
      </c>
      <c r="C782" s="1" t="s">
        <v>4827</v>
      </c>
      <c r="D782" s="2" t="s">
        <v>4828</v>
      </c>
      <c r="E782" s="1" t="s">
        <v>20</v>
      </c>
      <c r="F782" s="1" t="s">
        <v>21</v>
      </c>
      <c r="G782" s="1" t="s">
        <v>673</v>
      </c>
      <c r="H782" s="1" t="s">
        <v>674</v>
      </c>
      <c r="I782" s="1" t="s">
        <v>4830</v>
      </c>
      <c r="J782" s="2" t="s">
        <v>4831</v>
      </c>
      <c r="K782" s="2" t="s">
        <v>4832</v>
      </c>
      <c r="L782" s="2" t="s">
        <v>4829</v>
      </c>
      <c r="M782" s="3" t="str">
        <f>VLOOKUP(G782,справочник!$B$1:$C$94,2,0)</f>
        <v>МСК+1</v>
      </c>
    </row>
    <row r="783" spans="1:13" ht="28.2" thickBot="1" x14ac:dyDescent="0.35">
      <c r="A783" s="1" t="s">
        <v>12</v>
      </c>
      <c r="B783" s="1">
        <v>930</v>
      </c>
      <c r="C783" s="1" t="s">
        <v>4833</v>
      </c>
      <c r="D783" s="2" t="s">
        <v>4834</v>
      </c>
      <c r="E783" s="1" t="s">
        <v>29</v>
      </c>
      <c r="F783" s="1" t="s">
        <v>14</v>
      </c>
      <c r="G783" s="1" t="s">
        <v>43</v>
      </c>
      <c r="H783" s="1" t="s">
        <v>4835</v>
      </c>
      <c r="I783" s="1" t="s">
        <v>4836</v>
      </c>
      <c r="J783" s="2" t="s">
        <v>4837</v>
      </c>
      <c r="K783" s="2" t="s">
        <v>4838</v>
      </c>
      <c r="L783" s="2" t="s">
        <v>4839</v>
      </c>
      <c r="M783" s="3" t="str">
        <f>VLOOKUP(G783,справочник!$B$1:$C$94,2,0)</f>
        <v>МСК</v>
      </c>
    </row>
    <row r="784" spans="1:13" ht="42" thickBot="1" x14ac:dyDescent="0.35">
      <c r="A784" s="1" t="s">
        <v>146</v>
      </c>
      <c r="B784" s="1">
        <v>1966</v>
      </c>
      <c r="C784" s="1" t="s">
        <v>4840</v>
      </c>
      <c r="D784" s="2" t="s">
        <v>4841</v>
      </c>
      <c r="E784" s="1" t="s">
        <v>20</v>
      </c>
      <c r="F784" s="1" t="s">
        <v>30</v>
      </c>
      <c r="G784" s="1" t="s">
        <v>3862</v>
      </c>
      <c r="H784" s="1" t="s">
        <v>3864</v>
      </c>
      <c r="I784" s="1" t="s">
        <v>4843</v>
      </c>
      <c r="J784" s="2" t="s">
        <v>4844</v>
      </c>
      <c r="K784" s="2" t="s">
        <v>4845</v>
      </c>
      <c r="L784" s="2" t="s">
        <v>4842</v>
      </c>
      <c r="M784" s="3" t="str">
        <f>VLOOKUP(G784,справочник!$B$1:$C$94,2,0)</f>
        <v>МСК</v>
      </c>
    </row>
    <row r="785" spans="1:13" ht="42" thickBot="1" x14ac:dyDescent="0.35">
      <c r="A785" s="1" t="s">
        <v>146</v>
      </c>
      <c r="B785" s="1">
        <v>2558</v>
      </c>
      <c r="C785" s="1" t="s">
        <v>4846</v>
      </c>
      <c r="D785" s="2" t="s">
        <v>4847</v>
      </c>
      <c r="E785" s="1" t="s">
        <v>20</v>
      </c>
      <c r="F785" s="1" t="s">
        <v>14</v>
      </c>
      <c r="G785" s="1" t="s">
        <v>15</v>
      </c>
      <c r="H785" s="1" t="s">
        <v>1764</v>
      </c>
      <c r="I785" s="1" t="s">
        <v>4850</v>
      </c>
      <c r="J785" s="2" t="s">
        <v>4851</v>
      </c>
      <c r="K785" s="2" t="s">
        <v>4848</v>
      </c>
      <c r="L785" s="2" t="s">
        <v>4849</v>
      </c>
      <c r="M785" s="3" t="str">
        <f>VLOOKUP(G785,справочник!$B$1:$C$94,2,0)</f>
        <v>МСК</v>
      </c>
    </row>
    <row r="786" spans="1:13" ht="28.2" thickBot="1" x14ac:dyDescent="0.35">
      <c r="A786" s="1" t="s">
        <v>12</v>
      </c>
      <c r="B786" s="1">
        <v>1434</v>
      </c>
      <c r="C786" s="1" t="s">
        <v>4852</v>
      </c>
      <c r="D786" s="2" t="s">
        <v>4853</v>
      </c>
      <c r="E786" s="1" t="s">
        <v>29</v>
      </c>
      <c r="F786" s="1" t="s">
        <v>14</v>
      </c>
      <c r="G786" s="1" t="s">
        <v>15</v>
      </c>
      <c r="H786" s="1" t="s">
        <v>16</v>
      </c>
      <c r="I786" s="1" t="s">
        <v>4854</v>
      </c>
      <c r="J786" s="2" t="s">
        <v>4855</v>
      </c>
      <c r="K786" s="2" t="s">
        <v>4856</v>
      </c>
      <c r="L786" s="2" t="s">
        <v>4857</v>
      </c>
      <c r="M786" s="3" t="str">
        <f>VLOOKUP(G786,справочник!$B$1:$C$94,2,0)</f>
        <v>МСК</v>
      </c>
    </row>
    <row r="787" spans="1:13" ht="55.8" thickBot="1" x14ac:dyDescent="0.35">
      <c r="A787" s="1" t="s">
        <v>146</v>
      </c>
      <c r="B787" s="1">
        <v>54</v>
      </c>
      <c r="C787" s="1" t="s">
        <v>4858</v>
      </c>
      <c r="D787" s="2" t="s">
        <v>4859</v>
      </c>
      <c r="E787" s="1" t="s">
        <v>29</v>
      </c>
      <c r="F787" s="1" t="s">
        <v>114</v>
      </c>
      <c r="G787" s="1" t="s">
        <v>2020</v>
      </c>
      <c r="H787" s="1" t="s">
        <v>2022</v>
      </c>
      <c r="I787" s="1" t="s">
        <v>4860</v>
      </c>
      <c r="J787" s="2" t="s">
        <v>4861</v>
      </c>
      <c r="K787" s="2" t="s">
        <v>4862</v>
      </c>
      <c r="L787" s="2" t="s">
        <v>4863</v>
      </c>
      <c r="M787" s="3" t="str">
        <f>VLOOKUP(G787,справочник!$B$1:$C$94,2,0)</f>
        <v>МСК+7</v>
      </c>
    </row>
    <row r="788" spans="1:13" ht="42" thickBot="1" x14ac:dyDescent="0.35">
      <c r="A788" s="1" t="s">
        <v>1443</v>
      </c>
      <c r="B788" s="1">
        <v>694</v>
      </c>
      <c r="C788" s="1" t="s">
        <v>4864</v>
      </c>
      <c r="D788" s="2" t="s">
        <v>4865</v>
      </c>
      <c r="E788" s="1" t="s">
        <v>29</v>
      </c>
      <c r="F788" s="1" t="s">
        <v>222</v>
      </c>
      <c r="G788" s="1" t="s">
        <v>740</v>
      </c>
      <c r="H788" s="1" t="s">
        <v>3349</v>
      </c>
      <c r="I788" s="1" t="s">
        <v>4866</v>
      </c>
      <c r="J788" s="2" t="s">
        <v>4867</v>
      </c>
      <c r="K788" s="2" t="s">
        <v>4868</v>
      </c>
      <c r="L788" s="2" t="s">
        <v>4869</v>
      </c>
      <c r="M788" s="3" t="str">
        <f>VLOOKUP(G788,справочник!$B$1:$C$94,2,0)</f>
        <v>МСК+1</v>
      </c>
    </row>
    <row r="789" spans="1:13" ht="42" thickBot="1" x14ac:dyDescent="0.35">
      <c r="A789" s="1" t="s">
        <v>131</v>
      </c>
      <c r="B789" s="1">
        <v>657</v>
      </c>
      <c r="C789" s="1" t="s">
        <v>4870</v>
      </c>
      <c r="D789" s="2" t="s">
        <v>4871</v>
      </c>
      <c r="E789" s="1" t="s">
        <v>29</v>
      </c>
      <c r="F789" s="1" t="s">
        <v>222</v>
      </c>
      <c r="G789" s="1" t="s">
        <v>727</v>
      </c>
      <c r="H789" s="1" t="s">
        <v>728</v>
      </c>
      <c r="I789" s="1" t="s">
        <v>4873</v>
      </c>
      <c r="J789" s="2" t="s">
        <v>4874</v>
      </c>
      <c r="K789" s="2" t="s">
        <v>4875</v>
      </c>
      <c r="L789" s="2" t="s">
        <v>4872</v>
      </c>
      <c r="M789" s="3" t="str">
        <f>VLOOKUP(G789,справочник!$B$1:$C$94,2,0)</f>
        <v>МСК</v>
      </c>
    </row>
    <row r="790" spans="1:13" ht="28.2" thickBot="1" x14ac:dyDescent="0.35">
      <c r="A790" s="1" t="s">
        <v>12</v>
      </c>
      <c r="B790" s="1">
        <v>913</v>
      </c>
      <c r="C790" s="1" t="s">
        <v>4876</v>
      </c>
      <c r="D790" s="2" t="s">
        <v>4877</v>
      </c>
      <c r="E790" s="1" t="s">
        <v>29</v>
      </c>
      <c r="F790" s="1" t="s">
        <v>222</v>
      </c>
      <c r="G790" s="1" t="s">
        <v>1637</v>
      </c>
      <c r="H790" s="1" t="s">
        <v>1638</v>
      </c>
      <c r="I790" s="1" t="s">
        <v>4878</v>
      </c>
      <c r="J790" s="2" t="s">
        <v>1342</v>
      </c>
      <c r="K790" s="2" t="s">
        <v>4879</v>
      </c>
      <c r="L790" s="2" t="s">
        <v>4880</v>
      </c>
      <c r="M790" s="3" t="str">
        <f>VLOOKUP(G790,справочник!$B$1:$C$94,2,0)</f>
        <v>МСК+2</v>
      </c>
    </row>
    <row r="791" spans="1:13" ht="42" thickBot="1" x14ac:dyDescent="0.35">
      <c r="A791" s="1" t="s">
        <v>146</v>
      </c>
      <c r="B791" s="1">
        <v>755</v>
      </c>
      <c r="C791" s="1" t="s">
        <v>4881</v>
      </c>
      <c r="D791" s="2" t="s">
        <v>4882</v>
      </c>
      <c r="E791" s="1" t="s">
        <v>29</v>
      </c>
      <c r="F791" s="1" t="s">
        <v>114</v>
      </c>
      <c r="G791" s="1" t="s">
        <v>121</v>
      </c>
      <c r="H791" s="1" t="s">
        <v>4883</v>
      </c>
      <c r="I791" s="1" t="s">
        <v>4884</v>
      </c>
      <c r="J791" s="2" t="s">
        <v>4885</v>
      </c>
      <c r="K791" s="2" t="s">
        <v>4886</v>
      </c>
      <c r="L791" s="2" t="s">
        <v>4887</v>
      </c>
      <c r="M791" s="3" t="str">
        <f>VLOOKUP(G791,справочник!$B$1:$C$94,2,0)</f>
        <v>МСК+7</v>
      </c>
    </row>
    <row r="792" spans="1:13" ht="42" thickBot="1" x14ac:dyDescent="0.35">
      <c r="A792" s="1" t="s">
        <v>54</v>
      </c>
      <c r="B792" s="1">
        <v>3983</v>
      </c>
      <c r="C792" s="1" t="s">
        <v>4888</v>
      </c>
      <c r="D792" s="2" t="s">
        <v>4889</v>
      </c>
      <c r="E792" s="1" t="s">
        <v>104</v>
      </c>
      <c r="F792" s="1" t="s">
        <v>14</v>
      </c>
      <c r="G792" s="1" t="s">
        <v>15</v>
      </c>
      <c r="H792" s="1" t="s">
        <v>16</v>
      </c>
      <c r="I792" s="1" t="s">
        <v>4890</v>
      </c>
      <c r="J792" s="2" t="s">
        <v>4891</v>
      </c>
      <c r="K792" s="2" t="s">
        <v>4892</v>
      </c>
      <c r="L792" s="2" t="s">
        <v>4893</v>
      </c>
      <c r="M792" s="3" t="str">
        <f>VLOOKUP(G792,справочник!$B$1:$C$94,2,0)</f>
        <v>МСК</v>
      </c>
    </row>
    <row r="793" spans="1:13" ht="42" thickBot="1" x14ac:dyDescent="0.35">
      <c r="A793" s="1" t="s">
        <v>12</v>
      </c>
      <c r="B793" s="1">
        <v>7420</v>
      </c>
      <c r="C793" s="1" t="s">
        <v>4894</v>
      </c>
      <c r="D793" s="2" t="s">
        <v>4895</v>
      </c>
      <c r="E793" s="1" t="s">
        <v>29</v>
      </c>
      <c r="F793" s="1" t="s">
        <v>30</v>
      </c>
      <c r="G793" s="1" t="s">
        <v>624</v>
      </c>
      <c r="H793" s="1" t="s">
        <v>4896</v>
      </c>
      <c r="I793" s="1" t="s">
        <v>4897</v>
      </c>
      <c r="J793" s="2" t="s">
        <v>4898</v>
      </c>
      <c r="K793" s="2" t="s">
        <v>4899</v>
      </c>
      <c r="L793" s="2" t="s">
        <v>4900</v>
      </c>
      <c r="M793" s="3" t="str">
        <f>VLOOKUP(G793,справочник!$B$1:$C$94,2,0)</f>
        <v>МСК</v>
      </c>
    </row>
    <row r="794" spans="1:13" ht="42" thickBot="1" x14ac:dyDescent="0.35">
      <c r="A794" s="1" t="s">
        <v>146</v>
      </c>
      <c r="B794" s="1">
        <v>321</v>
      </c>
      <c r="C794" s="1" t="s">
        <v>4901</v>
      </c>
      <c r="D794" s="2" t="s">
        <v>4902</v>
      </c>
      <c r="E794" s="1" t="s">
        <v>29</v>
      </c>
      <c r="F794" s="1" t="s">
        <v>30</v>
      </c>
      <c r="G794" s="1" t="s">
        <v>624</v>
      </c>
      <c r="H794" s="1" t="s">
        <v>4903</v>
      </c>
      <c r="I794" s="1" t="s">
        <v>4904</v>
      </c>
      <c r="J794" s="2" t="s">
        <v>2909</v>
      </c>
      <c r="K794" s="2" t="s">
        <v>4905</v>
      </c>
      <c r="L794" s="2" t="s">
        <v>4906</v>
      </c>
      <c r="M794" s="3" t="str">
        <f>VLOOKUP(G794,справочник!$B$1:$C$94,2,0)</f>
        <v>МСК</v>
      </c>
    </row>
    <row r="795" spans="1:13" ht="42" thickBot="1" x14ac:dyDescent="0.35">
      <c r="A795" s="1" t="s">
        <v>146</v>
      </c>
      <c r="B795" s="1">
        <v>153</v>
      </c>
      <c r="C795" s="1" t="s">
        <v>4907</v>
      </c>
      <c r="D795" s="2" t="s">
        <v>4908</v>
      </c>
      <c r="E795" s="1" t="s">
        <v>29</v>
      </c>
      <c r="F795" s="1" t="s">
        <v>109</v>
      </c>
      <c r="G795" s="1" t="s">
        <v>110</v>
      </c>
      <c r="H795" s="1" t="s">
        <v>4909</v>
      </c>
      <c r="I795" s="1" t="s">
        <v>4910</v>
      </c>
      <c r="J795" s="2" t="s">
        <v>4911</v>
      </c>
      <c r="K795" s="2" t="s">
        <v>4912</v>
      </c>
      <c r="L795" s="2" t="s">
        <v>4913</v>
      </c>
      <c r="M795" s="3" t="str">
        <f>VLOOKUP(G795,справочник!$B$1:$C$94,2,0)</f>
        <v>МСК</v>
      </c>
    </row>
    <row r="796" spans="1:13" ht="42" thickBot="1" x14ac:dyDescent="0.35">
      <c r="A796" s="1" t="s">
        <v>12</v>
      </c>
      <c r="B796" s="1">
        <v>7560</v>
      </c>
      <c r="C796" s="1" t="s">
        <v>4914</v>
      </c>
      <c r="D796" s="2" t="s">
        <v>4915</v>
      </c>
      <c r="E796" s="1" t="s">
        <v>29</v>
      </c>
      <c r="F796" s="1" t="s">
        <v>14</v>
      </c>
      <c r="G796" s="1" t="s">
        <v>43</v>
      </c>
      <c r="H796" s="1" t="s">
        <v>4916</v>
      </c>
      <c r="I796" s="1" t="s">
        <v>4917</v>
      </c>
      <c r="J796" s="2" t="s">
        <v>4918</v>
      </c>
      <c r="K796" s="2" t="s">
        <v>4919</v>
      </c>
      <c r="L796" s="2" t="s">
        <v>4920</v>
      </c>
      <c r="M796" s="3" t="str">
        <f>VLOOKUP(G796,справочник!$B$1:$C$94,2,0)</f>
        <v>МСК</v>
      </c>
    </row>
    <row r="797" spans="1:13" ht="28.2" thickBot="1" x14ac:dyDescent="0.35">
      <c r="A797" s="1" t="s">
        <v>12</v>
      </c>
      <c r="B797" s="1">
        <v>3366</v>
      </c>
      <c r="C797" s="1" t="s">
        <v>4921</v>
      </c>
      <c r="D797" s="2" t="s">
        <v>4922</v>
      </c>
      <c r="E797" s="1" t="s">
        <v>29</v>
      </c>
      <c r="F797" s="1" t="s">
        <v>14</v>
      </c>
      <c r="G797" s="1" t="s">
        <v>3191</v>
      </c>
      <c r="H797" s="1" t="s">
        <v>3192</v>
      </c>
      <c r="I797" s="1" t="s">
        <v>4923</v>
      </c>
      <c r="J797" s="2" t="s">
        <v>4924</v>
      </c>
      <c r="K797" s="2" t="s">
        <v>4925</v>
      </c>
      <c r="L797" s="2" t="s">
        <v>4926</v>
      </c>
      <c r="M797" s="3" t="str">
        <f>VLOOKUP(G797,справочник!$B$1:$C$94,2,0)</f>
        <v>МСК</v>
      </c>
    </row>
    <row r="798" spans="1:13" ht="97.2" thickBot="1" x14ac:dyDescent="0.35">
      <c r="A798" s="1" t="s">
        <v>12</v>
      </c>
      <c r="B798" s="1">
        <v>7415</v>
      </c>
      <c r="C798" s="1" t="s">
        <v>4927</v>
      </c>
      <c r="D798" s="2" t="s">
        <v>4928</v>
      </c>
      <c r="E798" s="1" t="s">
        <v>4929</v>
      </c>
      <c r="F798" s="1" t="s">
        <v>47</v>
      </c>
      <c r="G798" s="1" t="s">
        <v>48</v>
      </c>
      <c r="H798" s="1" t="s">
        <v>49</v>
      </c>
      <c r="I798" s="1" t="s">
        <v>4930</v>
      </c>
      <c r="J798" s="2" t="s">
        <v>4931</v>
      </c>
      <c r="K798" s="2" t="s">
        <v>4932</v>
      </c>
      <c r="L798" s="2" t="s">
        <v>4933</v>
      </c>
      <c r="M798" s="3" t="str">
        <f>VLOOKUP(G798,справочник!$B$1:$C$94,2,0)</f>
        <v>МСК+2</v>
      </c>
    </row>
    <row r="799" spans="1:13" ht="83.4" thickBot="1" x14ac:dyDescent="0.35">
      <c r="A799" s="1" t="s">
        <v>12</v>
      </c>
      <c r="B799" s="1">
        <v>3358</v>
      </c>
      <c r="C799" s="1" t="s">
        <v>4934</v>
      </c>
      <c r="D799" s="2" t="s">
        <v>4935</v>
      </c>
      <c r="E799" s="1" t="s">
        <v>29</v>
      </c>
      <c r="F799" s="1" t="s">
        <v>36</v>
      </c>
      <c r="G799" s="1" t="s">
        <v>2996</v>
      </c>
      <c r="H799" s="1" t="s">
        <v>3180</v>
      </c>
      <c r="I799" s="1" t="s">
        <v>4937</v>
      </c>
      <c r="J799" s="2" t="s">
        <v>4938</v>
      </c>
      <c r="K799" s="2" t="s">
        <v>4939</v>
      </c>
      <c r="L799" s="2" t="s">
        <v>4936</v>
      </c>
      <c r="M799" s="3" t="str">
        <f>VLOOKUP(G799,справочник!$B$1:$C$94,2,0)</f>
        <v>МСК+4</v>
      </c>
    </row>
    <row r="800" spans="1:13" ht="55.8" thickBot="1" x14ac:dyDescent="0.35">
      <c r="A800" s="1" t="s">
        <v>12</v>
      </c>
      <c r="B800" s="1">
        <v>3226</v>
      </c>
      <c r="C800" s="1" t="s">
        <v>4940</v>
      </c>
      <c r="D800" s="2" t="s">
        <v>4941</v>
      </c>
      <c r="E800" s="1" t="s">
        <v>29</v>
      </c>
      <c r="F800" s="1" t="s">
        <v>14</v>
      </c>
      <c r="G800" s="1" t="s">
        <v>43</v>
      </c>
      <c r="H800" s="1" t="s">
        <v>4943</v>
      </c>
      <c r="I800" s="1" t="s">
        <v>4944</v>
      </c>
      <c r="J800" s="2" t="s">
        <v>4945</v>
      </c>
      <c r="K800" s="2" t="s">
        <v>4946</v>
      </c>
      <c r="L800" s="2" t="s">
        <v>4942</v>
      </c>
      <c r="M800" s="3" t="str">
        <f>VLOOKUP(G800,справочник!$B$1:$C$94,2,0)</f>
        <v>МСК</v>
      </c>
    </row>
    <row r="801" spans="1:13" ht="69.599999999999994" thickBot="1" x14ac:dyDescent="0.35">
      <c r="A801" s="1" t="s">
        <v>12</v>
      </c>
      <c r="B801" s="1">
        <v>3886</v>
      </c>
      <c r="C801" s="1" t="s">
        <v>4947</v>
      </c>
      <c r="D801" s="2" t="s">
        <v>4948</v>
      </c>
      <c r="E801" s="1" t="s">
        <v>29</v>
      </c>
      <c r="F801" s="1" t="s">
        <v>222</v>
      </c>
      <c r="G801" s="1" t="s">
        <v>740</v>
      </c>
      <c r="H801" s="1" t="s">
        <v>3349</v>
      </c>
      <c r="I801" s="1" t="s">
        <v>4949</v>
      </c>
      <c r="J801" s="2" t="s">
        <v>4950</v>
      </c>
      <c r="K801" s="2" t="s">
        <v>4951</v>
      </c>
      <c r="L801" s="2" t="s">
        <v>4952</v>
      </c>
      <c r="M801" s="3" t="str">
        <f>VLOOKUP(G801,справочник!$B$1:$C$94,2,0)</f>
        <v>МСК+1</v>
      </c>
    </row>
    <row r="802" spans="1:13" ht="69.599999999999994" thickBot="1" x14ac:dyDescent="0.35">
      <c r="A802" s="1" t="s">
        <v>12</v>
      </c>
      <c r="B802" s="1">
        <v>3359</v>
      </c>
      <c r="C802" s="1" t="s">
        <v>4953</v>
      </c>
      <c r="D802" s="2" t="s">
        <v>4954</v>
      </c>
      <c r="E802" s="1" t="s">
        <v>29</v>
      </c>
      <c r="F802" s="1" t="s">
        <v>30</v>
      </c>
      <c r="G802" s="1" t="s">
        <v>31</v>
      </c>
      <c r="H802" s="1" t="s">
        <v>31</v>
      </c>
      <c r="I802" s="1" t="s">
        <v>4955</v>
      </c>
      <c r="J802" s="2" t="s">
        <v>467</v>
      </c>
      <c r="K802" s="2" t="s">
        <v>4956</v>
      </c>
      <c r="L802" s="2" t="s">
        <v>4957</v>
      </c>
      <c r="M802" s="3" t="str">
        <f>VLOOKUP(G802,справочник!$B$1:$C$94,2,0)</f>
        <v>МСК</v>
      </c>
    </row>
    <row r="803" spans="1:13" ht="69.599999999999994" thickBot="1" x14ac:dyDescent="0.35">
      <c r="A803" s="1" t="s">
        <v>12</v>
      </c>
      <c r="B803" s="1">
        <v>3360</v>
      </c>
      <c r="C803" s="1" t="s">
        <v>4958</v>
      </c>
      <c r="D803" s="2" t="s">
        <v>4959</v>
      </c>
      <c r="E803" s="1" t="s">
        <v>29</v>
      </c>
      <c r="F803" s="1" t="s">
        <v>14</v>
      </c>
      <c r="G803" s="1" t="s">
        <v>667</v>
      </c>
      <c r="H803" s="1" t="s">
        <v>668</v>
      </c>
      <c r="I803" s="1" t="s">
        <v>4961</v>
      </c>
      <c r="J803" s="2" t="s">
        <v>4962</v>
      </c>
      <c r="K803" s="2" t="s">
        <v>4963</v>
      </c>
      <c r="L803" s="2" t="s">
        <v>4960</v>
      </c>
      <c r="M803" s="3" t="str">
        <f>VLOOKUP(G803,справочник!$B$1:$C$94,2,0)</f>
        <v>МСК</v>
      </c>
    </row>
    <row r="804" spans="1:13" ht="69.599999999999994" thickBot="1" x14ac:dyDescent="0.35">
      <c r="A804" s="1" t="s">
        <v>12</v>
      </c>
      <c r="B804" s="1">
        <v>3363</v>
      </c>
      <c r="C804" s="1" t="s">
        <v>4964</v>
      </c>
      <c r="D804" s="2" t="s">
        <v>4965</v>
      </c>
      <c r="E804" s="1" t="s">
        <v>29</v>
      </c>
      <c r="F804" s="1" t="s">
        <v>222</v>
      </c>
      <c r="G804" s="1" t="s">
        <v>4699</v>
      </c>
      <c r="H804" s="1" t="s">
        <v>4700</v>
      </c>
      <c r="I804" s="1" t="s">
        <v>4967</v>
      </c>
      <c r="J804" s="2" t="s">
        <v>232</v>
      </c>
      <c r="K804" s="2" t="s">
        <v>4968</v>
      </c>
      <c r="L804" s="2" t="s">
        <v>4966</v>
      </c>
      <c r="M804" s="3" t="str">
        <f>VLOOKUP(G804,справочник!$B$1:$C$94,2,0)</f>
        <v>МСК</v>
      </c>
    </row>
    <row r="805" spans="1:13" ht="83.4" thickBot="1" x14ac:dyDescent="0.35">
      <c r="A805" s="1" t="s">
        <v>12</v>
      </c>
      <c r="B805" s="1">
        <v>3926</v>
      </c>
      <c r="C805" s="1" t="s">
        <v>4969</v>
      </c>
      <c r="D805" s="2" t="s">
        <v>4970</v>
      </c>
      <c r="E805" s="1" t="s">
        <v>29</v>
      </c>
      <c r="F805" s="1" t="s">
        <v>36</v>
      </c>
      <c r="G805" s="1" t="s">
        <v>1181</v>
      </c>
      <c r="H805" s="1" t="s">
        <v>4971</v>
      </c>
      <c r="I805" s="1" t="s">
        <v>4972</v>
      </c>
      <c r="J805" s="2" t="s">
        <v>4973</v>
      </c>
      <c r="K805" s="2" t="s">
        <v>4974</v>
      </c>
      <c r="L805" s="2" t="s">
        <v>4975</v>
      </c>
      <c r="M805" s="3" t="str">
        <f>VLOOKUP(G805,справочник!$B$1:$C$94,2,0)</f>
        <v>МСК+4</v>
      </c>
    </row>
    <row r="806" spans="1:13" ht="69.599999999999994" thickBot="1" x14ac:dyDescent="0.35">
      <c r="A806" s="1" t="s">
        <v>12</v>
      </c>
      <c r="B806" s="1">
        <v>7849</v>
      </c>
      <c r="C806" s="1" t="s">
        <v>4976</v>
      </c>
      <c r="D806" s="2" t="s">
        <v>4977</v>
      </c>
      <c r="E806" s="1" t="s">
        <v>29</v>
      </c>
      <c r="F806" s="1" t="s">
        <v>222</v>
      </c>
      <c r="G806" s="1" t="s">
        <v>3479</v>
      </c>
      <c r="H806" s="1" t="s">
        <v>3482</v>
      </c>
      <c r="I806" s="1" t="s">
        <v>4979</v>
      </c>
      <c r="J806" s="2" t="s">
        <v>467</v>
      </c>
      <c r="K806" s="2" t="s">
        <v>4980</v>
      </c>
      <c r="L806" s="2" t="s">
        <v>4978</v>
      </c>
      <c r="M806" s="3" t="str">
        <f>VLOOKUP(G806,справочник!$B$1:$C$94,2,0)</f>
        <v>МСК</v>
      </c>
    </row>
    <row r="807" spans="1:13" ht="69.599999999999994" thickBot="1" x14ac:dyDescent="0.35">
      <c r="A807" s="1" t="s">
        <v>146</v>
      </c>
      <c r="B807" s="1">
        <v>4019</v>
      </c>
      <c r="C807" s="1" t="s">
        <v>4981</v>
      </c>
      <c r="D807" s="2" t="s">
        <v>4982</v>
      </c>
      <c r="E807" s="1" t="s">
        <v>20</v>
      </c>
      <c r="F807" s="1" t="s">
        <v>21</v>
      </c>
      <c r="G807" s="1" t="s">
        <v>1476</v>
      </c>
      <c r="H807" s="1" t="s">
        <v>1492</v>
      </c>
      <c r="I807" s="1" t="s">
        <v>4984</v>
      </c>
      <c r="J807" s="2" t="s">
        <v>4985</v>
      </c>
      <c r="K807" s="2" t="s">
        <v>4986</v>
      </c>
      <c r="L807" s="2" t="s">
        <v>4983</v>
      </c>
      <c r="M807" s="3" t="str">
        <f>VLOOKUP(G807,справочник!$B$1:$C$94,2,0)</f>
        <v>МСК</v>
      </c>
    </row>
    <row r="808" spans="1:13" ht="28.2" thickBot="1" x14ac:dyDescent="0.35">
      <c r="A808" s="1" t="s">
        <v>83</v>
      </c>
      <c r="B808" s="1">
        <v>972</v>
      </c>
      <c r="C808" s="1" t="s">
        <v>4987</v>
      </c>
      <c r="D808" s="2" t="s">
        <v>4988</v>
      </c>
      <c r="E808" s="1" t="s">
        <v>29</v>
      </c>
      <c r="F808" s="1" t="s">
        <v>14</v>
      </c>
      <c r="G808" s="1" t="s">
        <v>15</v>
      </c>
      <c r="H808" s="1" t="s">
        <v>16</v>
      </c>
      <c r="I808" s="1" t="s">
        <v>4990</v>
      </c>
      <c r="J808" s="2" t="s">
        <v>4991</v>
      </c>
      <c r="K808" s="2" t="s">
        <v>4992</v>
      </c>
      <c r="L808" s="2" t="s">
        <v>4989</v>
      </c>
      <c r="M808" s="3" t="str">
        <f>VLOOKUP(G808,справочник!$B$1:$C$94,2,0)</f>
        <v>МСК</v>
      </c>
    </row>
    <row r="809" spans="1:13" ht="28.2" thickBot="1" x14ac:dyDescent="0.35">
      <c r="A809" s="1" t="s">
        <v>177</v>
      </c>
      <c r="B809" s="1">
        <v>2226</v>
      </c>
      <c r="C809" s="1" t="s">
        <v>4993</v>
      </c>
      <c r="D809" s="2" t="s">
        <v>4994</v>
      </c>
      <c r="E809" s="1" t="s">
        <v>29</v>
      </c>
      <c r="F809" s="1" t="s">
        <v>14</v>
      </c>
      <c r="G809" s="1" t="s">
        <v>15</v>
      </c>
      <c r="H809" s="1" t="s">
        <v>16</v>
      </c>
      <c r="I809" s="1" t="s">
        <v>4995</v>
      </c>
      <c r="J809" s="2" t="s">
        <v>1906</v>
      </c>
      <c r="K809" s="2" t="s">
        <v>4996</v>
      </c>
      <c r="L809" s="2" t="s">
        <v>4997</v>
      </c>
      <c r="M809" s="3" t="str">
        <f>VLOOKUP(G809,справочник!$B$1:$C$94,2,0)</f>
        <v>МСК</v>
      </c>
    </row>
    <row r="810" spans="1:13" ht="42" thickBot="1" x14ac:dyDescent="0.35">
      <c r="A810" s="1" t="s">
        <v>83</v>
      </c>
      <c r="B810" s="1">
        <v>1500</v>
      </c>
      <c r="C810" s="1" t="s">
        <v>4998</v>
      </c>
      <c r="D810" s="2" t="s">
        <v>4999</v>
      </c>
      <c r="E810" s="1" t="s">
        <v>29</v>
      </c>
      <c r="F810" s="1" t="s">
        <v>14</v>
      </c>
      <c r="G810" s="1" t="s">
        <v>15</v>
      </c>
      <c r="H810" s="1" t="s">
        <v>16</v>
      </c>
      <c r="I810" s="1" t="s">
        <v>5000</v>
      </c>
      <c r="J810" s="2" t="s">
        <v>5001</v>
      </c>
      <c r="K810" s="2" t="s">
        <v>5002</v>
      </c>
      <c r="L810" s="2" t="s">
        <v>5003</v>
      </c>
      <c r="M810" s="3" t="str">
        <f>VLOOKUP(G810,справочник!$B$1:$C$94,2,0)</f>
        <v>МСК</v>
      </c>
    </row>
    <row r="811" spans="1:13" ht="42" thickBot="1" x14ac:dyDescent="0.35">
      <c r="A811" s="1" t="s">
        <v>5004</v>
      </c>
      <c r="B811" s="1">
        <v>3146</v>
      </c>
      <c r="C811" s="1" t="s">
        <v>5005</v>
      </c>
      <c r="D811" s="2" t="s">
        <v>5006</v>
      </c>
      <c r="E811" s="1" t="s">
        <v>29</v>
      </c>
      <c r="F811" s="1" t="s">
        <v>14</v>
      </c>
      <c r="G811" s="1" t="s">
        <v>15</v>
      </c>
      <c r="H811" s="1" t="s">
        <v>16</v>
      </c>
      <c r="I811" s="1" t="s">
        <v>5007</v>
      </c>
      <c r="J811" s="2" t="s">
        <v>1923</v>
      </c>
      <c r="K811" s="2" t="s">
        <v>5008</v>
      </c>
      <c r="L811" s="2" t="s">
        <v>5009</v>
      </c>
      <c r="M811" s="3" t="str">
        <f>VLOOKUP(G811,справочник!$B$1:$C$94,2,0)</f>
        <v>МСК</v>
      </c>
    </row>
    <row r="812" spans="1:13" ht="28.2" thickBot="1" x14ac:dyDescent="0.35">
      <c r="A812" s="1" t="s">
        <v>177</v>
      </c>
      <c r="B812" s="1">
        <v>734</v>
      </c>
      <c r="C812" s="1" t="s">
        <v>5010</v>
      </c>
      <c r="D812" s="2" t="s">
        <v>5011</v>
      </c>
      <c r="E812" s="1" t="s">
        <v>29</v>
      </c>
      <c r="F812" s="1" t="s">
        <v>14</v>
      </c>
      <c r="G812" s="1" t="s">
        <v>15</v>
      </c>
      <c r="H812" s="1" t="s">
        <v>16</v>
      </c>
      <c r="I812" s="1" t="s">
        <v>5012</v>
      </c>
      <c r="J812" s="2" t="s">
        <v>5013</v>
      </c>
      <c r="K812" s="2" t="s">
        <v>5014</v>
      </c>
      <c r="L812" s="2" t="s">
        <v>5015</v>
      </c>
      <c r="M812" s="3" t="str">
        <f>VLOOKUP(G812,справочник!$B$1:$C$94,2,0)</f>
        <v>МСК</v>
      </c>
    </row>
    <row r="813" spans="1:13" ht="42" thickBot="1" x14ac:dyDescent="0.35">
      <c r="A813" s="1" t="s">
        <v>131</v>
      </c>
      <c r="B813" s="1">
        <v>3257</v>
      </c>
      <c r="C813" s="1" t="s">
        <v>5016</v>
      </c>
      <c r="D813" s="2" t="s">
        <v>5017</v>
      </c>
      <c r="E813" s="1" t="s">
        <v>104</v>
      </c>
      <c r="F813" s="1" t="s">
        <v>14</v>
      </c>
      <c r="G813" s="1" t="s">
        <v>43</v>
      </c>
      <c r="H813" s="1" t="s">
        <v>16</v>
      </c>
      <c r="I813" s="1" t="s">
        <v>5018</v>
      </c>
      <c r="J813" s="2" t="s">
        <v>381</v>
      </c>
      <c r="K813" s="2" t="s">
        <v>5019</v>
      </c>
      <c r="L813" s="2" t="s">
        <v>5020</v>
      </c>
      <c r="M813" s="3" t="str">
        <f>VLOOKUP(G813,справочник!$B$1:$C$94,2,0)</f>
        <v>МСК</v>
      </c>
    </row>
    <row r="814" spans="1:13" ht="28.2" thickBot="1" x14ac:dyDescent="0.35">
      <c r="A814" s="1" t="s">
        <v>12</v>
      </c>
      <c r="B814" s="1">
        <v>1077</v>
      </c>
      <c r="C814" s="1" t="s">
        <v>5021</v>
      </c>
      <c r="D814" s="2" t="s">
        <v>5022</v>
      </c>
      <c r="E814" s="1" t="s">
        <v>29</v>
      </c>
      <c r="F814" s="1" t="s">
        <v>14</v>
      </c>
      <c r="G814" s="1" t="s">
        <v>43</v>
      </c>
      <c r="H814" s="1" t="s">
        <v>5023</v>
      </c>
      <c r="I814" s="1" t="s">
        <v>5024</v>
      </c>
      <c r="J814" s="2" t="s">
        <v>5025</v>
      </c>
      <c r="K814" s="2" t="s">
        <v>5026</v>
      </c>
      <c r="L814" s="2" t="s">
        <v>5027</v>
      </c>
      <c r="M814" s="3" t="str">
        <f>VLOOKUP(G814,справочник!$B$1:$C$94,2,0)</f>
        <v>МСК</v>
      </c>
    </row>
    <row r="815" spans="1:13" ht="42" thickBot="1" x14ac:dyDescent="0.35">
      <c r="A815" s="1" t="s">
        <v>5028</v>
      </c>
      <c r="B815" s="1">
        <v>959</v>
      </c>
      <c r="C815" s="1" t="s">
        <v>5029</v>
      </c>
      <c r="D815" s="2" t="s">
        <v>5030</v>
      </c>
      <c r="E815" s="1" t="s">
        <v>29</v>
      </c>
      <c r="F815" s="1" t="s">
        <v>14</v>
      </c>
      <c r="G815" s="1" t="s">
        <v>43</v>
      </c>
      <c r="H815" s="1" t="s">
        <v>5033</v>
      </c>
      <c r="I815" s="1" t="s">
        <v>5034</v>
      </c>
      <c r="J815" s="2" t="s">
        <v>5035</v>
      </c>
      <c r="K815" s="2" t="s">
        <v>5031</v>
      </c>
      <c r="L815" s="2" t="s">
        <v>5032</v>
      </c>
      <c r="M815" s="3" t="str">
        <f>VLOOKUP(G815,справочник!$B$1:$C$94,2,0)</f>
        <v>МСК</v>
      </c>
    </row>
    <row r="816" spans="1:13" ht="28.2" thickBot="1" x14ac:dyDescent="0.35">
      <c r="A816" s="1" t="s">
        <v>12</v>
      </c>
      <c r="B816" s="1">
        <v>908</v>
      </c>
      <c r="C816" s="1" t="s">
        <v>5036</v>
      </c>
      <c r="D816" s="2" t="s">
        <v>5037</v>
      </c>
      <c r="E816" s="1" t="s">
        <v>29</v>
      </c>
      <c r="F816" s="1" t="s">
        <v>14</v>
      </c>
      <c r="G816" s="1" t="s">
        <v>15</v>
      </c>
      <c r="H816" s="1" t="s">
        <v>16</v>
      </c>
      <c r="I816" s="1" t="s">
        <v>5038</v>
      </c>
      <c r="J816" s="2" t="s">
        <v>5039</v>
      </c>
      <c r="K816" s="2" t="s">
        <v>5040</v>
      </c>
      <c r="L816" s="2" t="s">
        <v>5041</v>
      </c>
      <c r="M816" s="3" t="str">
        <f>VLOOKUP(G816,справочник!$B$1:$C$94,2,0)</f>
        <v>МСК</v>
      </c>
    </row>
    <row r="817" spans="1:13" ht="42" thickBot="1" x14ac:dyDescent="0.35">
      <c r="A817" s="1" t="s">
        <v>146</v>
      </c>
      <c r="B817" s="1">
        <v>112</v>
      </c>
      <c r="C817" s="1" t="s">
        <v>5042</v>
      </c>
      <c r="D817" s="2" t="s">
        <v>5043</v>
      </c>
      <c r="E817" s="1" t="s">
        <v>29</v>
      </c>
      <c r="F817" s="1" t="s">
        <v>14</v>
      </c>
      <c r="G817" s="1" t="s">
        <v>15</v>
      </c>
      <c r="H817" s="1" t="s">
        <v>16</v>
      </c>
      <c r="I817" s="1" t="s">
        <v>5044</v>
      </c>
      <c r="J817" s="2" t="s">
        <v>5045</v>
      </c>
      <c r="K817" s="2" t="s">
        <v>5046</v>
      </c>
      <c r="L817" s="2" t="s">
        <v>5047</v>
      </c>
      <c r="M817" s="3" t="str">
        <f>VLOOKUP(G817,справочник!$B$1:$C$94,2,0)</f>
        <v>МСК</v>
      </c>
    </row>
    <row r="818" spans="1:13" ht="42" thickBot="1" x14ac:dyDescent="0.35">
      <c r="A818" s="1" t="s">
        <v>261</v>
      </c>
      <c r="B818" s="1">
        <v>1411</v>
      </c>
      <c r="C818" s="1" t="s">
        <v>5048</v>
      </c>
      <c r="D818" s="2" t="s">
        <v>5049</v>
      </c>
      <c r="E818" s="1" t="s">
        <v>29</v>
      </c>
      <c r="F818" s="1" t="s">
        <v>14</v>
      </c>
      <c r="G818" s="1" t="s">
        <v>15</v>
      </c>
      <c r="H818" s="1" t="s">
        <v>16</v>
      </c>
      <c r="I818" s="1" t="s">
        <v>5050</v>
      </c>
      <c r="J818" s="2" t="s">
        <v>5051</v>
      </c>
      <c r="K818" s="2" t="s">
        <v>5052</v>
      </c>
      <c r="L818" s="2" t="s">
        <v>5053</v>
      </c>
      <c r="M818" s="3" t="str">
        <f>VLOOKUP(G818,справочник!$B$1:$C$94,2,0)</f>
        <v>МСК</v>
      </c>
    </row>
    <row r="819" spans="1:13" ht="42" thickBot="1" x14ac:dyDescent="0.35">
      <c r="A819" s="1" t="s">
        <v>146</v>
      </c>
      <c r="B819" s="1">
        <v>155</v>
      </c>
      <c r="C819" s="1" t="s">
        <v>5054</v>
      </c>
      <c r="D819" s="2" t="s">
        <v>5055</v>
      </c>
      <c r="E819" s="1" t="s">
        <v>29</v>
      </c>
      <c r="F819" s="1" t="s">
        <v>14</v>
      </c>
      <c r="G819" s="1" t="s">
        <v>15</v>
      </c>
      <c r="H819" s="1" t="s">
        <v>16</v>
      </c>
      <c r="I819" s="1" t="s">
        <v>5056</v>
      </c>
      <c r="J819" s="2" t="s">
        <v>5039</v>
      </c>
      <c r="K819" s="2" t="s">
        <v>5057</v>
      </c>
      <c r="L819" s="2" t="s">
        <v>5058</v>
      </c>
      <c r="M819" s="3" t="str">
        <f>VLOOKUP(G819,справочник!$B$1:$C$94,2,0)</f>
        <v>МСК</v>
      </c>
    </row>
    <row r="820" spans="1:13" ht="42" thickBot="1" x14ac:dyDescent="0.35">
      <c r="A820" s="1" t="s">
        <v>146</v>
      </c>
      <c r="B820" s="1">
        <v>156</v>
      </c>
      <c r="C820" s="1" t="s">
        <v>5059</v>
      </c>
      <c r="D820" s="2" t="s">
        <v>5060</v>
      </c>
      <c r="E820" s="1" t="s">
        <v>29</v>
      </c>
      <c r="F820" s="1" t="s">
        <v>30</v>
      </c>
      <c r="G820" s="1" t="s">
        <v>31</v>
      </c>
      <c r="H820" s="1" t="s">
        <v>32</v>
      </c>
      <c r="I820" s="1" t="s">
        <v>5061</v>
      </c>
      <c r="J820" s="2" t="s">
        <v>5062</v>
      </c>
      <c r="K820" s="2" t="s">
        <v>5063</v>
      </c>
      <c r="L820" s="2" t="s">
        <v>5064</v>
      </c>
      <c r="M820" s="3" t="str">
        <f>VLOOKUP(G820,справочник!$B$1:$C$94,2,0)</f>
        <v>МСК</v>
      </c>
    </row>
    <row r="821" spans="1:13" ht="42" thickBot="1" x14ac:dyDescent="0.35">
      <c r="A821" s="1" t="s">
        <v>146</v>
      </c>
      <c r="B821" s="1">
        <v>157</v>
      </c>
      <c r="C821" s="1" t="s">
        <v>5065</v>
      </c>
      <c r="D821" s="2" t="s">
        <v>5066</v>
      </c>
      <c r="E821" s="1" t="s">
        <v>29</v>
      </c>
      <c r="F821" s="1" t="s">
        <v>14</v>
      </c>
      <c r="G821" s="1" t="s">
        <v>15</v>
      </c>
      <c r="H821" s="1" t="s">
        <v>16</v>
      </c>
      <c r="I821" s="1" t="s">
        <v>5068</v>
      </c>
      <c r="J821" s="2" t="s">
        <v>5069</v>
      </c>
      <c r="K821" s="2" t="s">
        <v>5070</v>
      </c>
      <c r="L821" s="2" t="s">
        <v>5067</v>
      </c>
      <c r="M821" s="3" t="str">
        <f>VLOOKUP(G821,справочник!$B$1:$C$94,2,0)</f>
        <v>МСК</v>
      </c>
    </row>
    <row r="822" spans="1:13" ht="28.2" thickBot="1" x14ac:dyDescent="0.35">
      <c r="A822" s="1" t="s">
        <v>177</v>
      </c>
      <c r="B822" s="1">
        <v>776</v>
      </c>
      <c r="C822" s="1" t="s">
        <v>5071</v>
      </c>
      <c r="D822" s="2" t="s">
        <v>5072</v>
      </c>
      <c r="E822" s="1" t="s">
        <v>29</v>
      </c>
      <c r="F822" s="1" t="s">
        <v>30</v>
      </c>
      <c r="G822" s="1" t="s">
        <v>31</v>
      </c>
      <c r="H822" s="1" t="s">
        <v>32</v>
      </c>
      <c r="I822" s="1" t="s">
        <v>5074</v>
      </c>
      <c r="J822" s="2" t="s">
        <v>5075</v>
      </c>
      <c r="K822" s="2" t="s">
        <v>5076</v>
      </c>
      <c r="L822" s="2" t="s">
        <v>5073</v>
      </c>
      <c r="M822" s="3" t="str">
        <f>VLOOKUP(G822,справочник!$B$1:$C$94,2,0)</f>
        <v>МСК</v>
      </c>
    </row>
    <row r="823" spans="1:13" ht="69.599999999999994" thickBot="1" x14ac:dyDescent="0.35">
      <c r="A823" s="1" t="s">
        <v>168</v>
      </c>
      <c r="B823" s="1">
        <v>158</v>
      </c>
      <c r="C823" s="1" t="s">
        <v>5077</v>
      </c>
      <c r="D823" s="2" t="s">
        <v>5078</v>
      </c>
      <c r="E823" s="1" t="s">
        <v>29</v>
      </c>
      <c r="F823" s="1" t="s">
        <v>30</v>
      </c>
      <c r="G823" s="1" t="s">
        <v>31</v>
      </c>
      <c r="H823" s="1" t="s">
        <v>32</v>
      </c>
      <c r="I823" s="1" t="s">
        <v>5080</v>
      </c>
      <c r="J823" s="2" t="s">
        <v>5081</v>
      </c>
      <c r="K823" s="2" t="s">
        <v>5082</v>
      </c>
      <c r="L823" s="2" t="s">
        <v>5079</v>
      </c>
      <c r="M823" s="3" t="str">
        <f>VLOOKUP(G823,справочник!$B$1:$C$94,2,0)</f>
        <v>МСК</v>
      </c>
    </row>
    <row r="824" spans="1:13" ht="42" thickBot="1" x14ac:dyDescent="0.35">
      <c r="A824" s="1" t="s">
        <v>146</v>
      </c>
      <c r="B824" s="1">
        <v>160</v>
      </c>
      <c r="C824" s="1" t="s">
        <v>5083</v>
      </c>
      <c r="D824" s="2" t="s">
        <v>5084</v>
      </c>
      <c r="E824" s="1" t="s">
        <v>29</v>
      </c>
      <c r="F824" s="1" t="s">
        <v>14</v>
      </c>
      <c r="G824" s="1" t="s">
        <v>15</v>
      </c>
      <c r="H824" s="1" t="s">
        <v>16</v>
      </c>
      <c r="I824" s="1" t="s">
        <v>5085</v>
      </c>
      <c r="J824" s="2" t="s">
        <v>5086</v>
      </c>
      <c r="K824" s="2" t="s">
        <v>5087</v>
      </c>
      <c r="L824" s="2" t="s">
        <v>5088</v>
      </c>
      <c r="M824" s="3" t="str">
        <f>VLOOKUP(G824,справочник!$B$1:$C$94,2,0)</f>
        <v>МСК</v>
      </c>
    </row>
    <row r="825" spans="1:13" ht="42" thickBot="1" x14ac:dyDescent="0.35">
      <c r="A825" s="1" t="s">
        <v>146</v>
      </c>
      <c r="B825" s="1">
        <v>109</v>
      </c>
      <c r="C825" s="1" t="s">
        <v>5089</v>
      </c>
      <c r="D825" s="2" t="s">
        <v>5090</v>
      </c>
      <c r="E825" s="1" t="s">
        <v>29</v>
      </c>
      <c r="F825" s="1" t="s">
        <v>14</v>
      </c>
      <c r="G825" s="1" t="s">
        <v>15</v>
      </c>
      <c r="H825" s="1" t="s">
        <v>16</v>
      </c>
      <c r="I825" s="1" t="s">
        <v>5091</v>
      </c>
      <c r="J825" s="2" t="s">
        <v>5092</v>
      </c>
      <c r="K825" s="2" t="s">
        <v>5093</v>
      </c>
      <c r="L825" s="2" t="s">
        <v>5094</v>
      </c>
      <c r="M825" s="3" t="str">
        <f>VLOOKUP(G825,справочник!$B$1:$C$94,2,0)</f>
        <v>МСК</v>
      </c>
    </row>
    <row r="826" spans="1:13" ht="42" thickBot="1" x14ac:dyDescent="0.35">
      <c r="A826" s="1" t="s">
        <v>261</v>
      </c>
      <c r="B826" s="1">
        <v>912</v>
      </c>
      <c r="C826" s="1" t="s">
        <v>5095</v>
      </c>
      <c r="D826" s="2" t="s">
        <v>5096</v>
      </c>
      <c r="E826" s="1" t="s">
        <v>29</v>
      </c>
      <c r="F826" s="1" t="s">
        <v>14</v>
      </c>
      <c r="G826" s="1" t="s">
        <v>43</v>
      </c>
      <c r="H826" s="1" t="s">
        <v>44</v>
      </c>
      <c r="I826" s="1" t="s">
        <v>5097</v>
      </c>
      <c r="J826" s="2" t="s">
        <v>5098</v>
      </c>
      <c r="K826" s="2" t="s">
        <v>5099</v>
      </c>
      <c r="L826" s="2" t="s">
        <v>5100</v>
      </c>
      <c r="M826" s="3" t="str">
        <f>VLOOKUP(G826,справочник!$B$1:$C$94,2,0)</f>
        <v>МСК</v>
      </c>
    </row>
    <row r="827" spans="1:13" ht="42" thickBot="1" x14ac:dyDescent="0.35">
      <c r="A827" s="1" t="s">
        <v>5101</v>
      </c>
      <c r="B827" s="1">
        <v>3269</v>
      </c>
      <c r="C827" s="1" t="s">
        <v>5102</v>
      </c>
      <c r="D827" s="2" t="s">
        <v>5103</v>
      </c>
      <c r="E827" s="1" t="s">
        <v>29</v>
      </c>
      <c r="F827" s="1" t="s">
        <v>14</v>
      </c>
      <c r="G827" s="1" t="s">
        <v>15</v>
      </c>
      <c r="H827" s="1" t="s">
        <v>5104</v>
      </c>
      <c r="I827" s="1" t="s">
        <v>5105</v>
      </c>
      <c r="J827" s="2" t="s">
        <v>5106</v>
      </c>
      <c r="K827" s="2" t="s">
        <v>5107</v>
      </c>
      <c r="L827" s="2" t="s">
        <v>5108</v>
      </c>
      <c r="M827" s="3" t="str">
        <f>VLOOKUP(G827,справочник!$B$1:$C$94,2,0)</f>
        <v>МСК</v>
      </c>
    </row>
    <row r="828" spans="1:13" ht="42" thickBot="1" x14ac:dyDescent="0.35">
      <c r="A828" s="1" t="s">
        <v>146</v>
      </c>
      <c r="B828" s="1">
        <v>103</v>
      </c>
      <c r="C828" s="1" t="s">
        <v>5109</v>
      </c>
      <c r="D828" s="2" t="s">
        <v>5110</v>
      </c>
      <c r="E828" s="1" t="s">
        <v>29</v>
      </c>
      <c r="F828" s="1" t="s">
        <v>14</v>
      </c>
      <c r="G828" s="1" t="s">
        <v>15</v>
      </c>
      <c r="H828" s="1" t="s">
        <v>16</v>
      </c>
      <c r="I828" s="1" t="s">
        <v>5111</v>
      </c>
      <c r="J828" s="2" t="s">
        <v>5112</v>
      </c>
      <c r="K828" s="2" t="s">
        <v>5113</v>
      </c>
      <c r="L828" s="2" t="s">
        <v>5114</v>
      </c>
      <c r="M828" s="3" t="str">
        <f>VLOOKUP(G828,справочник!$B$1:$C$94,2,0)</f>
        <v>МСК</v>
      </c>
    </row>
    <row r="829" spans="1:13" ht="152.4" thickBot="1" x14ac:dyDescent="0.35">
      <c r="A829" s="1" t="s">
        <v>146</v>
      </c>
      <c r="B829" s="1">
        <v>163</v>
      </c>
      <c r="C829" s="1" t="s">
        <v>5115</v>
      </c>
      <c r="D829" s="2" t="s">
        <v>5116</v>
      </c>
      <c r="E829" s="1" t="s">
        <v>29</v>
      </c>
      <c r="F829" s="1" t="s">
        <v>14</v>
      </c>
      <c r="G829" s="1" t="s">
        <v>43</v>
      </c>
      <c r="H829" s="1" t="s">
        <v>5117</v>
      </c>
      <c r="I829" s="1" t="s">
        <v>5118</v>
      </c>
      <c r="J829" s="2" t="s">
        <v>5119</v>
      </c>
      <c r="K829" s="2" t="s">
        <v>5120</v>
      </c>
      <c r="L829" s="2" t="s">
        <v>5121</v>
      </c>
      <c r="M829" s="3" t="str">
        <f>VLOOKUP(G829,справочник!$B$1:$C$94,2,0)</f>
        <v>МСК</v>
      </c>
    </row>
    <row r="830" spans="1:13" ht="42" thickBot="1" x14ac:dyDescent="0.35">
      <c r="A830" s="1" t="s">
        <v>146</v>
      </c>
      <c r="B830" s="1">
        <v>114</v>
      </c>
      <c r="C830" s="1" t="s">
        <v>5122</v>
      </c>
      <c r="D830" s="2" t="s">
        <v>5123</v>
      </c>
      <c r="E830" s="1" t="s">
        <v>29</v>
      </c>
      <c r="F830" s="1" t="s">
        <v>14</v>
      </c>
      <c r="G830" s="1" t="s">
        <v>15</v>
      </c>
      <c r="H830" s="1" t="s">
        <v>16</v>
      </c>
      <c r="I830" s="1" t="s">
        <v>5124</v>
      </c>
      <c r="J830" s="2" t="s">
        <v>5125</v>
      </c>
      <c r="K830" s="2" t="s">
        <v>5126</v>
      </c>
      <c r="L830" s="2" t="s">
        <v>5127</v>
      </c>
      <c r="M830" s="3" t="str">
        <f>VLOOKUP(G830,справочник!$B$1:$C$94,2,0)</f>
        <v>МСК</v>
      </c>
    </row>
    <row r="831" spans="1:13" ht="28.2" thickBot="1" x14ac:dyDescent="0.35">
      <c r="A831" s="1" t="s">
        <v>177</v>
      </c>
      <c r="B831" s="1">
        <v>3423</v>
      </c>
      <c r="C831" s="1" t="s">
        <v>5128</v>
      </c>
      <c r="D831" s="2" t="s">
        <v>5129</v>
      </c>
      <c r="E831" s="1" t="s">
        <v>20</v>
      </c>
      <c r="F831" s="1" t="s">
        <v>30</v>
      </c>
      <c r="G831" s="1" t="s">
        <v>31</v>
      </c>
      <c r="H831" s="1" t="s">
        <v>32</v>
      </c>
      <c r="I831" s="1" t="s">
        <v>5131</v>
      </c>
      <c r="J831" s="2" t="s">
        <v>5132</v>
      </c>
      <c r="K831" s="2" t="s">
        <v>5133</v>
      </c>
      <c r="L831" s="2" t="s">
        <v>5130</v>
      </c>
      <c r="M831" s="3" t="str">
        <f>VLOOKUP(G831,справочник!$B$1:$C$94,2,0)</f>
        <v>МСК</v>
      </c>
    </row>
    <row r="832" spans="1:13" ht="42" thickBot="1" x14ac:dyDescent="0.35">
      <c r="A832" s="1" t="s">
        <v>76</v>
      </c>
      <c r="B832" s="1">
        <v>7599</v>
      </c>
      <c r="C832" s="1" t="s">
        <v>5134</v>
      </c>
      <c r="D832" s="2" t="s">
        <v>5135</v>
      </c>
      <c r="E832" s="1" t="s">
        <v>104</v>
      </c>
      <c r="F832" s="1" t="s">
        <v>14</v>
      </c>
      <c r="G832" s="1" t="s">
        <v>15</v>
      </c>
      <c r="H832" s="1" t="s">
        <v>16</v>
      </c>
      <c r="I832" s="1" t="s">
        <v>5136</v>
      </c>
      <c r="J832" s="2" t="s">
        <v>232</v>
      </c>
      <c r="K832" s="2" t="s">
        <v>5137</v>
      </c>
      <c r="L832" s="2" t="s">
        <v>5138</v>
      </c>
      <c r="M832" s="3" t="str">
        <f>VLOOKUP(G832,справочник!$B$1:$C$94,2,0)</f>
        <v>МСК</v>
      </c>
    </row>
    <row r="833" spans="1:13" ht="28.2" thickBot="1" x14ac:dyDescent="0.35">
      <c r="A833" s="1" t="s">
        <v>177</v>
      </c>
      <c r="B833" s="1">
        <v>1223</v>
      </c>
      <c r="C833" s="1" t="s">
        <v>5139</v>
      </c>
      <c r="D833" s="2" t="s">
        <v>5140</v>
      </c>
      <c r="E833" s="1" t="s">
        <v>29</v>
      </c>
      <c r="F833" s="1" t="s">
        <v>14</v>
      </c>
      <c r="G833" s="1" t="s">
        <v>15</v>
      </c>
      <c r="H833" s="1" t="s">
        <v>16</v>
      </c>
      <c r="I833" s="1" t="s">
        <v>5141</v>
      </c>
      <c r="J833" s="2" t="s">
        <v>5142</v>
      </c>
      <c r="K833" s="2" t="s">
        <v>5143</v>
      </c>
      <c r="L833" s="2" t="s">
        <v>5144</v>
      </c>
      <c r="M833" s="3" t="str">
        <f>VLOOKUP(G833,справочник!$B$1:$C$94,2,0)</f>
        <v>МСК</v>
      </c>
    </row>
    <row r="834" spans="1:13" ht="42" thickBot="1" x14ac:dyDescent="0.35">
      <c r="A834" s="1" t="s">
        <v>12</v>
      </c>
      <c r="B834" s="1">
        <v>3386</v>
      </c>
      <c r="C834" s="1" t="s">
        <v>5145</v>
      </c>
      <c r="D834" s="2" t="s">
        <v>5146</v>
      </c>
      <c r="E834" s="1" t="s">
        <v>29</v>
      </c>
      <c r="F834" s="1" t="s">
        <v>222</v>
      </c>
      <c r="G834" s="1" t="s">
        <v>223</v>
      </c>
      <c r="H834" s="1" t="s">
        <v>224</v>
      </c>
      <c r="I834" s="1" t="s">
        <v>5148</v>
      </c>
      <c r="J834" s="2" t="s">
        <v>5149</v>
      </c>
      <c r="K834" s="2" t="s">
        <v>5150</v>
      </c>
      <c r="L834" s="2" t="s">
        <v>5147</v>
      </c>
      <c r="M834" s="3" t="str">
        <f>VLOOKUP(G834,справочник!$B$1:$C$94,2,0)</f>
        <v>МСК</v>
      </c>
    </row>
    <row r="835" spans="1:13" ht="42" thickBot="1" x14ac:dyDescent="0.35">
      <c r="A835" s="1" t="s">
        <v>261</v>
      </c>
      <c r="B835" s="1">
        <v>3613</v>
      </c>
      <c r="C835" s="1" t="s">
        <v>5151</v>
      </c>
      <c r="D835" s="2" t="s">
        <v>5152</v>
      </c>
      <c r="E835" s="1" t="s">
        <v>20</v>
      </c>
      <c r="F835" s="1" t="s">
        <v>222</v>
      </c>
      <c r="G835" s="1" t="s">
        <v>4536</v>
      </c>
      <c r="H835" s="1" t="s">
        <v>5154</v>
      </c>
      <c r="I835" s="1" t="s">
        <v>5155</v>
      </c>
      <c r="J835" s="2" t="s">
        <v>5156</v>
      </c>
      <c r="K835" s="2" t="s">
        <v>5157</v>
      </c>
      <c r="L835" s="2" t="s">
        <v>5153</v>
      </c>
      <c r="M835" s="3" t="str">
        <f>VLOOKUP(G835,справочник!$B$1:$C$94,2,0)</f>
        <v>МСК+1</v>
      </c>
    </row>
    <row r="836" spans="1:13" ht="28.2" thickBot="1" x14ac:dyDescent="0.35">
      <c r="A836" s="1" t="s">
        <v>1237</v>
      </c>
      <c r="B836" s="1">
        <v>3452</v>
      </c>
      <c r="C836" s="1" t="s">
        <v>5158</v>
      </c>
      <c r="D836" s="2" t="s">
        <v>5159</v>
      </c>
      <c r="E836" s="1" t="s">
        <v>20</v>
      </c>
      <c r="F836" s="1" t="s">
        <v>30</v>
      </c>
      <c r="G836" s="1" t="s">
        <v>31</v>
      </c>
      <c r="H836" s="1" t="s">
        <v>32</v>
      </c>
      <c r="I836" s="1" t="s">
        <v>5161</v>
      </c>
      <c r="J836" s="2" t="s">
        <v>5162</v>
      </c>
      <c r="K836" s="2" t="s">
        <v>5162</v>
      </c>
      <c r="L836" s="2" t="s">
        <v>5160</v>
      </c>
      <c r="M836" s="3" t="str">
        <f>VLOOKUP(G836,справочник!$B$1:$C$94,2,0)</f>
        <v>МСК</v>
      </c>
    </row>
    <row r="837" spans="1:13" ht="69.599999999999994" thickBot="1" x14ac:dyDescent="0.35">
      <c r="A837" s="1" t="s">
        <v>261</v>
      </c>
      <c r="B837" s="1">
        <v>3628</v>
      </c>
      <c r="C837" s="1" t="s">
        <v>5163</v>
      </c>
      <c r="D837" s="2" t="s">
        <v>5164</v>
      </c>
      <c r="E837" s="1" t="s">
        <v>20</v>
      </c>
      <c r="F837" s="1" t="s">
        <v>14</v>
      </c>
      <c r="G837" s="1" t="s">
        <v>43</v>
      </c>
      <c r="H837" s="1" t="s">
        <v>5165</v>
      </c>
      <c r="I837" s="1" t="s">
        <v>5166</v>
      </c>
      <c r="J837" s="2" t="s">
        <v>268</v>
      </c>
      <c r="K837" s="2" t="s">
        <v>5167</v>
      </c>
      <c r="L837" s="2" t="s">
        <v>5168</v>
      </c>
      <c r="M837" s="3" t="str">
        <f>VLOOKUP(G837,справочник!$B$1:$C$94,2,0)</f>
        <v>МСК</v>
      </c>
    </row>
    <row r="838" spans="1:13" ht="42" thickBot="1" x14ac:dyDescent="0.35">
      <c r="A838" s="1" t="s">
        <v>177</v>
      </c>
      <c r="B838" s="1">
        <v>3631</v>
      </c>
      <c r="C838" s="1" t="s">
        <v>5169</v>
      </c>
      <c r="D838" s="2" t="s">
        <v>5170</v>
      </c>
      <c r="E838" s="1" t="s">
        <v>20</v>
      </c>
      <c r="F838" s="1" t="s">
        <v>14</v>
      </c>
      <c r="G838" s="1" t="s">
        <v>15</v>
      </c>
      <c r="H838" s="1" t="s">
        <v>16</v>
      </c>
      <c r="I838" s="1" t="s">
        <v>5171</v>
      </c>
      <c r="J838" s="2" t="s">
        <v>1906</v>
      </c>
      <c r="K838" s="2" t="s">
        <v>5172</v>
      </c>
      <c r="L838" s="2" t="s">
        <v>5173</v>
      </c>
      <c r="M838" s="3" t="str">
        <f>VLOOKUP(G838,справочник!$B$1:$C$94,2,0)</f>
        <v>МСК</v>
      </c>
    </row>
    <row r="839" spans="1:13" ht="28.2" thickBot="1" x14ac:dyDescent="0.35">
      <c r="A839" s="1" t="s">
        <v>131</v>
      </c>
      <c r="B839" s="1">
        <v>7566</v>
      </c>
      <c r="C839" s="1" t="s">
        <v>5174</v>
      </c>
      <c r="D839" s="2" t="s">
        <v>5175</v>
      </c>
      <c r="E839" s="1" t="s">
        <v>20</v>
      </c>
      <c r="F839" s="1" t="s">
        <v>14</v>
      </c>
      <c r="G839" s="1" t="s">
        <v>15</v>
      </c>
      <c r="H839" s="1" t="s">
        <v>375</v>
      </c>
      <c r="I839" s="1" t="s">
        <v>5176</v>
      </c>
      <c r="J839" s="2" t="s">
        <v>5177</v>
      </c>
      <c r="K839" s="2" t="s">
        <v>5178</v>
      </c>
      <c r="L839" s="2" t="s">
        <v>5179</v>
      </c>
      <c r="M839" s="3" t="str">
        <f>VLOOKUP(G839,справочник!$B$1:$C$94,2,0)</f>
        <v>МСК</v>
      </c>
    </row>
    <row r="840" spans="1:13" ht="42" thickBot="1" x14ac:dyDescent="0.35">
      <c r="A840" s="1" t="s">
        <v>146</v>
      </c>
      <c r="B840" s="1">
        <v>2235</v>
      </c>
      <c r="C840" s="1" t="s">
        <v>5180</v>
      </c>
      <c r="D840" s="2" t="s">
        <v>5181</v>
      </c>
      <c r="E840" s="1" t="s">
        <v>20</v>
      </c>
      <c r="F840" s="1" t="s">
        <v>14</v>
      </c>
      <c r="G840" s="1" t="s">
        <v>15</v>
      </c>
      <c r="H840" s="1" t="s">
        <v>16</v>
      </c>
      <c r="I840" s="1" t="s">
        <v>5182</v>
      </c>
      <c r="J840" s="2" t="s">
        <v>2915</v>
      </c>
      <c r="K840" s="2" t="s">
        <v>5183</v>
      </c>
      <c r="L840" s="2" t="s">
        <v>5184</v>
      </c>
      <c r="M840" s="3" t="str">
        <f>VLOOKUP(G840,справочник!$B$1:$C$94,2,0)</f>
        <v>МСК</v>
      </c>
    </row>
    <row r="841" spans="1:13" ht="42" thickBot="1" x14ac:dyDescent="0.35">
      <c r="A841" s="1" t="s">
        <v>131</v>
      </c>
      <c r="B841" s="1">
        <v>555</v>
      </c>
      <c r="C841" s="1" t="s">
        <v>5185</v>
      </c>
      <c r="D841" s="2" t="s">
        <v>5186</v>
      </c>
      <c r="E841" s="1" t="s">
        <v>29</v>
      </c>
      <c r="F841" s="1" t="s">
        <v>14</v>
      </c>
      <c r="G841" s="1" t="s">
        <v>15</v>
      </c>
      <c r="H841" s="1" t="s">
        <v>16</v>
      </c>
      <c r="I841" s="1" t="s">
        <v>5187</v>
      </c>
      <c r="J841" s="2" t="s">
        <v>5188</v>
      </c>
      <c r="K841" s="2" t="s">
        <v>5189</v>
      </c>
      <c r="L841" s="2" t="s">
        <v>5190</v>
      </c>
      <c r="M841" s="3" t="str">
        <f>VLOOKUP(G841,справочник!$B$1:$C$94,2,0)</f>
        <v>МСК</v>
      </c>
    </row>
    <row r="842" spans="1:13" ht="42" thickBot="1" x14ac:dyDescent="0.35">
      <c r="A842" s="1" t="s">
        <v>12</v>
      </c>
      <c r="B842" s="1">
        <v>985</v>
      </c>
      <c r="C842" s="1" t="s">
        <v>5191</v>
      </c>
      <c r="D842" s="2" t="s">
        <v>5192</v>
      </c>
      <c r="E842" s="1" t="s">
        <v>29</v>
      </c>
      <c r="F842" s="1" t="s">
        <v>14</v>
      </c>
      <c r="G842" s="1" t="s">
        <v>15</v>
      </c>
      <c r="H842" s="1" t="s">
        <v>16</v>
      </c>
      <c r="I842" s="1" t="s">
        <v>5193</v>
      </c>
      <c r="J842" s="2" t="s">
        <v>5194</v>
      </c>
      <c r="K842" s="2" t="s">
        <v>5195</v>
      </c>
      <c r="L842" s="2" t="s">
        <v>5196</v>
      </c>
      <c r="M842" s="3" t="str">
        <f>VLOOKUP(G842,справочник!$B$1:$C$94,2,0)</f>
        <v>МСК</v>
      </c>
    </row>
    <row r="843" spans="1:13" ht="28.2" thickBot="1" x14ac:dyDescent="0.35">
      <c r="A843" s="1" t="s">
        <v>12</v>
      </c>
      <c r="B843" s="1">
        <v>1310</v>
      </c>
      <c r="C843" s="1" t="s">
        <v>5197</v>
      </c>
      <c r="D843" s="2" t="s">
        <v>5198</v>
      </c>
      <c r="E843" s="1" t="s">
        <v>29</v>
      </c>
      <c r="F843" s="1" t="s">
        <v>14</v>
      </c>
      <c r="G843" s="1" t="s">
        <v>15</v>
      </c>
      <c r="H843" s="1" t="s">
        <v>16</v>
      </c>
      <c r="I843" s="1" t="s">
        <v>5199</v>
      </c>
      <c r="J843" s="2" t="s">
        <v>5200</v>
      </c>
      <c r="K843" s="2" t="s">
        <v>5201</v>
      </c>
      <c r="L843" s="2" t="s">
        <v>5202</v>
      </c>
      <c r="M843" s="3" t="str">
        <f>VLOOKUP(G843,справочник!$B$1:$C$94,2,0)</f>
        <v>МСК</v>
      </c>
    </row>
    <row r="844" spans="1:13" ht="42" thickBot="1" x14ac:dyDescent="0.35">
      <c r="A844" s="1" t="s">
        <v>12</v>
      </c>
      <c r="B844" s="1">
        <v>3258</v>
      </c>
      <c r="C844" s="1" t="s">
        <v>5203</v>
      </c>
      <c r="D844" s="2" t="s">
        <v>5204</v>
      </c>
      <c r="E844" s="1" t="s">
        <v>29</v>
      </c>
      <c r="F844" s="1" t="s">
        <v>14</v>
      </c>
      <c r="G844" s="1" t="s">
        <v>15</v>
      </c>
      <c r="H844" s="1" t="s">
        <v>16</v>
      </c>
      <c r="I844" s="1" t="s">
        <v>5206</v>
      </c>
      <c r="J844" s="2" t="s">
        <v>5207</v>
      </c>
      <c r="K844" s="2" t="s">
        <v>5208</v>
      </c>
      <c r="L844" s="2" t="s">
        <v>5205</v>
      </c>
      <c r="M844" s="3" t="str">
        <f>VLOOKUP(G844,справочник!$B$1:$C$94,2,0)</f>
        <v>МСК</v>
      </c>
    </row>
    <row r="845" spans="1:13" ht="42" thickBot="1" x14ac:dyDescent="0.35">
      <c r="A845" s="1" t="s">
        <v>146</v>
      </c>
      <c r="B845" s="1">
        <v>164</v>
      </c>
      <c r="C845" s="1" t="s">
        <v>5209</v>
      </c>
      <c r="D845" s="2" t="s">
        <v>5210</v>
      </c>
      <c r="E845" s="1" t="s">
        <v>29</v>
      </c>
      <c r="F845" s="1" t="s">
        <v>14</v>
      </c>
      <c r="G845" s="1" t="s">
        <v>15</v>
      </c>
      <c r="H845" s="1" t="s">
        <v>16</v>
      </c>
      <c r="I845" s="1" t="s">
        <v>5211</v>
      </c>
      <c r="J845" s="2" t="s">
        <v>5212</v>
      </c>
      <c r="K845" s="2" t="s">
        <v>5213</v>
      </c>
      <c r="L845" s="2" t="s">
        <v>5214</v>
      </c>
      <c r="M845" s="3" t="str">
        <f>VLOOKUP(G845,справочник!$B$1:$C$94,2,0)</f>
        <v>МСК</v>
      </c>
    </row>
    <row r="846" spans="1:13" ht="42" thickBot="1" x14ac:dyDescent="0.35">
      <c r="A846" s="1" t="s">
        <v>12</v>
      </c>
      <c r="B846" s="1">
        <v>961</v>
      </c>
      <c r="C846" s="1" t="s">
        <v>5215</v>
      </c>
      <c r="D846" s="2" t="s">
        <v>5216</v>
      </c>
      <c r="E846" s="1" t="s">
        <v>29</v>
      </c>
      <c r="F846" s="1" t="s">
        <v>14</v>
      </c>
      <c r="G846" s="1" t="s">
        <v>43</v>
      </c>
      <c r="H846" s="1" t="s">
        <v>3063</v>
      </c>
      <c r="I846" s="1" t="s">
        <v>5217</v>
      </c>
      <c r="J846" s="2" t="s">
        <v>5218</v>
      </c>
      <c r="K846" s="2" t="s">
        <v>5219</v>
      </c>
      <c r="L846" s="2" t="s">
        <v>5220</v>
      </c>
      <c r="M846" s="3" t="str">
        <f>VLOOKUP(G846,справочник!$B$1:$C$94,2,0)</f>
        <v>МСК</v>
      </c>
    </row>
    <row r="847" spans="1:13" ht="28.2" thickBot="1" x14ac:dyDescent="0.35">
      <c r="A847" s="1" t="s">
        <v>131</v>
      </c>
      <c r="B847" s="1">
        <v>659</v>
      </c>
      <c r="C847" s="1" t="s">
        <v>5221</v>
      </c>
      <c r="D847" s="2" t="s">
        <v>5222</v>
      </c>
      <c r="E847" s="1" t="s">
        <v>29</v>
      </c>
      <c r="F847" s="1" t="s">
        <v>14</v>
      </c>
      <c r="G847" s="1" t="s">
        <v>15</v>
      </c>
      <c r="H847" s="1" t="s">
        <v>16</v>
      </c>
      <c r="I847" s="1" t="s">
        <v>5223</v>
      </c>
      <c r="J847" s="2" t="s">
        <v>802</v>
      </c>
      <c r="K847" s="2" t="s">
        <v>5224</v>
      </c>
      <c r="L847" s="2" t="s">
        <v>5225</v>
      </c>
      <c r="M847" s="3" t="str">
        <f>VLOOKUP(G847,справочник!$B$1:$C$94,2,0)</f>
        <v>МСК</v>
      </c>
    </row>
    <row r="848" spans="1:13" ht="42" thickBot="1" x14ac:dyDescent="0.35">
      <c r="A848" s="1" t="s">
        <v>621</v>
      </c>
      <c r="B848" s="1">
        <v>598</v>
      </c>
      <c r="C848" s="1" t="s">
        <v>5226</v>
      </c>
      <c r="D848" s="2" t="s">
        <v>5227</v>
      </c>
      <c r="E848" s="1" t="s">
        <v>29</v>
      </c>
      <c r="F848" s="1" t="s">
        <v>14</v>
      </c>
      <c r="G848" s="1" t="s">
        <v>15</v>
      </c>
      <c r="H848" s="1" t="s">
        <v>16</v>
      </c>
      <c r="I848" s="1" t="s">
        <v>5228</v>
      </c>
      <c r="J848" s="2" t="s">
        <v>3690</v>
      </c>
      <c r="K848" s="2" t="s">
        <v>5229</v>
      </c>
      <c r="L848" s="2" t="s">
        <v>5230</v>
      </c>
      <c r="M848" s="3" t="str">
        <f>VLOOKUP(G848,справочник!$B$1:$C$94,2,0)</f>
        <v>МСК</v>
      </c>
    </row>
    <row r="849" spans="1:13" ht="42" thickBot="1" x14ac:dyDescent="0.35">
      <c r="A849" s="1" t="s">
        <v>146</v>
      </c>
      <c r="B849" s="1">
        <v>37</v>
      </c>
      <c r="C849" s="1" t="s">
        <v>5231</v>
      </c>
      <c r="D849" s="2" t="s">
        <v>5232</v>
      </c>
      <c r="E849" s="1" t="s">
        <v>29</v>
      </c>
      <c r="F849" s="1" t="s">
        <v>30</v>
      </c>
      <c r="G849" s="1" t="s">
        <v>31</v>
      </c>
      <c r="H849" s="1" t="s">
        <v>32</v>
      </c>
      <c r="I849" s="1" t="s">
        <v>5234</v>
      </c>
      <c r="J849" s="2" t="s">
        <v>2551</v>
      </c>
      <c r="K849" s="2" t="s">
        <v>5235</v>
      </c>
      <c r="L849" s="2" t="s">
        <v>5233</v>
      </c>
      <c r="M849" s="3" t="str">
        <f>VLOOKUP(G849,справочник!$B$1:$C$94,2,0)</f>
        <v>МСК</v>
      </c>
    </row>
    <row r="850" spans="1:13" ht="42" thickBot="1" x14ac:dyDescent="0.35">
      <c r="A850" s="1" t="s">
        <v>5236</v>
      </c>
      <c r="B850" s="1">
        <v>688</v>
      </c>
      <c r="C850" s="1" t="s">
        <v>5237</v>
      </c>
      <c r="D850" s="2" t="s">
        <v>5238</v>
      </c>
      <c r="E850" s="1" t="s">
        <v>29</v>
      </c>
      <c r="F850" s="1" t="s">
        <v>14</v>
      </c>
      <c r="G850" s="1" t="s">
        <v>15</v>
      </c>
      <c r="H850" s="1" t="s">
        <v>16</v>
      </c>
      <c r="I850" s="1" t="s">
        <v>5239</v>
      </c>
      <c r="J850" s="2" t="s">
        <v>5240</v>
      </c>
      <c r="K850" s="2" t="s">
        <v>5241</v>
      </c>
      <c r="L850" s="2" t="s">
        <v>5242</v>
      </c>
      <c r="M850" s="3" t="str">
        <f>VLOOKUP(G850,справочник!$B$1:$C$94,2,0)</f>
        <v>МСК</v>
      </c>
    </row>
    <row r="851" spans="1:13" ht="42" thickBot="1" x14ac:dyDescent="0.35">
      <c r="A851" s="1" t="s">
        <v>146</v>
      </c>
      <c r="B851" s="1">
        <v>165</v>
      </c>
      <c r="C851" s="1" t="s">
        <v>5243</v>
      </c>
      <c r="D851" s="2" t="s">
        <v>5244</v>
      </c>
      <c r="E851" s="1" t="s">
        <v>29</v>
      </c>
      <c r="F851" s="1" t="s">
        <v>14</v>
      </c>
      <c r="G851" s="1" t="s">
        <v>15</v>
      </c>
      <c r="H851" s="1" t="s">
        <v>16</v>
      </c>
      <c r="I851" s="1" t="s">
        <v>5245</v>
      </c>
      <c r="J851" s="2" t="s">
        <v>5246</v>
      </c>
      <c r="K851" s="2" t="s">
        <v>5247</v>
      </c>
      <c r="L851" s="2" t="s">
        <v>5248</v>
      </c>
      <c r="M851" s="3" t="str">
        <f>VLOOKUP(G851,справочник!$B$1:$C$94,2,0)</f>
        <v>МСК</v>
      </c>
    </row>
    <row r="852" spans="1:13" ht="42" thickBot="1" x14ac:dyDescent="0.35">
      <c r="A852" s="1" t="s">
        <v>146</v>
      </c>
      <c r="B852" s="1">
        <v>1832</v>
      </c>
      <c r="C852" s="1" t="s">
        <v>5249</v>
      </c>
      <c r="D852" s="2" t="s">
        <v>5250</v>
      </c>
      <c r="E852" s="1" t="s">
        <v>20</v>
      </c>
      <c r="F852" s="1" t="s">
        <v>14</v>
      </c>
      <c r="G852" s="1" t="s">
        <v>15</v>
      </c>
      <c r="H852" s="1" t="s">
        <v>16</v>
      </c>
      <c r="I852" s="1" t="s">
        <v>5251</v>
      </c>
      <c r="J852" s="2" t="s">
        <v>5252</v>
      </c>
      <c r="K852" s="2" t="s">
        <v>5253</v>
      </c>
      <c r="L852" s="2" t="s">
        <v>5254</v>
      </c>
      <c r="M852" s="3" t="str">
        <f>VLOOKUP(G852,справочник!$B$1:$C$94,2,0)</f>
        <v>МСК</v>
      </c>
    </row>
    <row r="853" spans="1:13" ht="42" thickBot="1" x14ac:dyDescent="0.35">
      <c r="A853" s="1" t="s">
        <v>131</v>
      </c>
      <c r="B853" s="1">
        <v>3981</v>
      </c>
      <c r="C853" s="1" t="s">
        <v>5255</v>
      </c>
      <c r="D853" s="2" t="s">
        <v>5256</v>
      </c>
      <c r="E853" s="1" t="s">
        <v>104</v>
      </c>
      <c r="F853" s="1" t="s">
        <v>14</v>
      </c>
      <c r="G853" s="1" t="s">
        <v>15</v>
      </c>
      <c r="H853" s="1" t="s">
        <v>16</v>
      </c>
      <c r="I853" s="1" t="s">
        <v>5257</v>
      </c>
      <c r="J853" s="2" t="s">
        <v>5258</v>
      </c>
      <c r="K853" s="2" t="s">
        <v>5259</v>
      </c>
      <c r="L853" s="2" t="s">
        <v>5260</v>
      </c>
      <c r="M853" s="3" t="str">
        <f>VLOOKUP(G853,справочник!$B$1:$C$94,2,0)</f>
        <v>МСК</v>
      </c>
    </row>
    <row r="854" spans="1:13" ht="42" thickBot="1" x14ac:dyDescent="0.35">
      <c r="A854" s="1" t="s">
        <v>146</v>
      </c>
      <c r="B854" s="1">
        <v>154</v>
      </c>
      <c r="C854" s="1" t="s">
        <v>5261</v>
      </c>
      <c r="D854" s="2" t="s">
        <v>5262</v>
      </c>
      <c r="E854" s="1" t="s">
        <v>29</v>
      </c>
      <c r="F854" s="1" t="s">
        <v>14</v>
      </c>
      <c r="G854" s="1" t="s">
        <v>15</v>
      </c>
      <c r="H854" s="1" t="s">
        <v>16</v>
      </c>
      <c r="I854" s="1" t="s">
        <v>5263</v>
      </c>
      <c r="J854" s="2" t="s">
        <v>5264</v>
      </c>
      <c r="K854" s="2" t="s">
        <v>5265</v>
      </c>
      <c r="L854" s="2" t="s">
        <v>5266</v>
      </c>
      <c r="M854" s="3" t="str">
        <f>VLOOKUP(G854,справочник!$B$1:$C$94,2,0)</f>
        <v>МСК</v>
      </c>
    </row>
    <row r="855" spans="1:13" ht="28.2" thickBot="1" x14ac:dyDescent="0.35">
      <c r="A855" s="1" t="s">
        <v>177</v>
      </c>
      <c r="B855" s="1">
        <v>1472</v>
      </c>
      <c r="C855" s="1" t="s">
        <v>5267</v>
      </c>
      <c r="D855" s="2" t="s">
        <v>5268</v>
      </c>
      <c r="E855" s="1" t="s">
        <v>29</v>
      </c>
      <c r="F855" s="1" t="s">
        <v>21</v>
      </c>
      <c r="G855" s="1" t="s">
        <v>22</v>
      </c>
      <c r="H855" s="1" t="s">
        <v>23</v>
      </c>
      <c r="I855" s="1" t="s">
        <v>5269</v>
      </c>
      <c r="J855" s="2" t="s">
        <v>1906</v>
      </c>
      <c r="K855" s="2" t="s">
        <v>5270</v>
      </c>
      <c r="L855" s="2" t="s">
        <v>5271</v>
      </c>
      <c r="M855" s="3" t="str">
        <f>VLOOKUP(G855,справочник!$B$1:$C$94,2,0)</f>
        <v>МСК</v>
      </c>
    </row>
    <row r="856" spans="1:13" ht="42" thickBot="1" x14ac:dyDescent="0.35">
      <c r="A856" s="1" t="s">
        <v>131</v>
      </c>
      <c r="B856" s="1">
        <v>661</v>
      </c>
      <c r="C856" s="1" t="s">
        <v>5272</v>
      </c>
      <c r="D856" s="2" t="s">
        <v>5273</v>
      </c>
      <c r="E856" s="1" t="s">
        <v>29</v>
      </c>
      <c r="F856" s="1" t="s">
        <v>21</v>
      </c>
      <c r="G856" s="1" t="s">
        <v>22</v>
      </c>
      <c r="H856" s="1" t="s">
        <v>23</v>
      </c>
      <c r="I856" s="1" t="s">
        <v>5274</v>
      </c>
      <c r="J856" s="2" t="s">
        <v>5275</v>
      </c>
      <c r="K856" s="2" t="s">
        <v>5276</v>
      </c>
      <c r="L856" s="2" t="s">
        <v>5277</v>
      </c>
      <c r="M856" s="3" t="str">
        <f>VLOOKUP(G856,справочник!$B$1:$C$94,2,0)</f>
        <v>МСК</v>
      </c>
    </row>
    <row r="857" spans="1:13" ht="55.8" thickBot="1" x14ac:dyDescent="0.35">
      <c r="A857" s="1" t="s">
        <v>1443</v>
      </c>
      <c r="B857" s="1">
        <v>681</v>
      </c>
      <c r="C857" s="1" t="s">
        <v>5278</v>
      </c>
      <c r="D857" s="2" t="s">
        <v>5279</v>
      </c>
      <c r="E857" s="1" t="s">
        <v>29</v>
      </c>
      <c r="F857" s="1" t="s">
        <v>21</v>
      </c>
      <c r="G857" s="1" t="s">
        <v>22</v>
      </c>
      <c r="H857" s="1" t="s">
        <v>5281</v>
      </c>
      <c r="I857" s="1" t="s">
        <v>5282</v>
      </c>
      <c r="J857" s="2" t="s">
        <v>5283</v>
      </c>
      <c r="K857" s="2" t="s">
        <v>5284</v>
      </c>
      <c r="L857" s="2" t="s">
        <v>5280</v>
      </c>
      <c r="M857" s="3" t="str">
        <f>VLOOKUP(G857,справочник!$B$1:$C$94,2,0)</f>
        <v>МСК</v>
      </c>
    </row>
    <row r="858" spans="1:13" ht="42" thickBot="1" x14ac:dyDescent="0.35">
      <c r="A858" s="1" t="s">
        <v>146</v>
      </c>
      <c r="B858" s="1">
        <v>167</v>
      </c>
      <c r="C858" s="1" t="s">
        <v>5285</v>
      </c>
      <c r="D858" s="2" t="s">
        <v>5286</v>
      </c>
      <c r="E858" s="1" t="s">
        <v>29</v>
      </c>
      <c r="F858" s="1" t="s">
        <v>21</v>
      </c>
      <c r="G858" s="1" t="s">
        <v>22</v>
      </c>
      <c r="H858" s="1" t="s">
        <v>23</v>
      </c>
      <c r="I858" s="1" t="s">
        <v>5287</v>
      </c>
      <c r="J858" s="2" t="s">
        <v>5288</v>
      </c>
      <c r="K858" s="2" t="s">
        <v>5289</v>
      </c>
      <c r="L858" s="2" t="s">
        <v>5290</v>
      </c>
      <c r="M858" s="3" t="str">
        <f>VLOOKUP(G858,справочник!$B$1:$C$94,2,0)</f>
        <v>МСК</v>
      </c>
    </row>
    <row r="859" spans="1:13" ht="42" thickBot="1" x14ac:dyDescent="0.35">
      <c r="A859" s="1" t="s">
        <v>12</v>
      </c>
      <c r="B859" s="1">
        <v>3377</v>
      </c>
      <c r="C859" s="1" t="s">
        <v>5291</v>
      </c>
      <c r="D859" s="2" t="s">
        <v>5292</v>
      </c>
      <c r="E859" s="1" t="s">
        <v>29</v>
      </c>
      <c r="F859" s="1" t="s">
        <v>21</v>
      </c>
      <c r="G859" s="1" t="s">
        <v>22</v>
      </c>
      <c r="H859" s="1" t="s">
        <v>23</v>
      </c>
      <c r="I859" s="1" t="s">
        <v>5293</v>
      </c>
      <c r="J859" s="2" t="s">
        <v>5294</v>
      </c>
      <c r="K859" s="2" t="s">
        <v>5295</v>
      </c>
      <c r="L859" s="2" t="s">
        <v>5296</v>
      </c>
      <c r="M859" s="3" t="str">
        <f>VLOOKUP(G859,справочник!$B$1:$C$94,2,0)</f>
        <v>МСК</v>
      </c>
    </row>
    <row r="860" spans="1:13" ht="28.2" thickBot="1" x14ac:dyDescent="0.35">
      <c r="A860" s="1" t="s">
        <v>12</v>
      </c>
      <c r="B860" s="1">
        <v>3378</v>
      </c>
      <c r="C860" s="1" t="s">
        <v>5297</v>
      </c>
      <c r="D860" s="2" t="s">
        <v>5298</v>
      </c>
      <c r="E860" s="1" t="s">
        <v>29</v>
      </c>
      <c r="F860" s="1" t="s">
        <v>30</v>
      </c>
      <c r="G860" s="1" t="s">
        <v>31</v>
      </c>
      <c r="H860" s="1" t="s">
        <v>32</v>
      </c>
      <c r="I860" s="1" t="s">
        <v>5299</v>
      </c>
      <c r="J860" s="2" t="s">
        <v>5300</v>
      </c>
      <c r="K860" s="2" t="s">
        <v>5301</v>
      </c>
      <c r="L860" s="2" t="s">
        <v>5302</v>
      </c>
      <c r="M860" s="3" t="str">
        <f>VLOOKUP(G860,справочник!$B$1:$C$94,2,0)</f>
        <v>МСК</v>
      </c>
    </row>
    <row r="861" spans="1:13" ht="42" thickBot="1" x14ac:dyDescent="0.35">
      <c r="A861" s="1" t="s">
        <v>12</v>
      </c>
      <c r="B861" s="1">
        <v>7548</v>
      </c>
      <c r="C861" s="1" t="s">
        <v>5303</v>
      </c>
      <c r="D861" s="2" t="s">
        <v>5304</v>
      </c>
      <c r="E861" s="1" t="s">
        <v>29</v>
      </c>
      <c r="F861" s="1" t="s">
        <v>222</v>
      </c>
      <c r="G861" s="1" t="s">
        <v>3310</v>
      </c>
      <c r="H861" s="1"/>
      <c r="I861" s="1"/>
      <c r="J861" s="2" t="s">
        <v>5305</v>
      </c>
      <c r="K861" s="2" t="s">
        <v>5306</v>
      </c>
      <c r="L861" s="2" t="s">
        <v>5307</v>
      </c>
      <c r="M861" s="3" t="str">
        <f>VLOOKUP(G861,справочник!$B$1:$C$94,2,0)</f>
        <v>МСК</v>
      </c>
    </row>
    <row r="862" spans="1:13" ht="83.4" thickBot="1" x14ac:dyDescent="0.35">
      <c r="A862" s="1" t="s">
        <v>146</v>
      </c>
      <c r="B862" s="1">
        <v>168</v>
      </c>
      <c r="C862" s="1" t="s">
        <v>5308</v>
      </c>
      <c r="D862" s="2" t="s">
        <v>5309</v>
      </c>
      <c r="E862" s="1" t="s">
        <v>29</v>
      </c>
      <c r="F862" s="1" t="s">
        <v>14</v>
      </c>
      <c r="G862" s="1" t="s">
        <v>1761</v>
      </c>
      <c r="H862" s="1" t="s">
        <v>5310</v>
      </c>
      <c r="I862" s="1" t="s">
        <v>5311</v>
      </c>
      <c r="J862" s="2" t="s">
        <v>5312</v>
      </c>
      <c r="K862" s="2" t="s">
        <v>5313</v>
      </c>
      <c r="L862" s="2" t="s">
        <v>5314</v>
      </c>
      <c r="M862" s="3" t="str">
        <f>VLOOKUP(G862,справочник!$B$1:$C$94,2,0)</f>
        <v>МСК</v>
      </c>
    </row>
    <row r="863" spans="1:13" ht="42" thickBot="1" x14ac:dyDescent="0.35">
      <c r="A863" s="1" t="s">
        <v>261</v>
      </c>
      <c r="B863" s="1">
        <v>573</v>
      </c>
      <c r="C863" s="1" t="s">
        <v>5315</v>
      </c>
      <c r="D863" s="2" t="s">
        <v>5316</v>
      </c>
      <c r="E863" s="1" t="s">
        <v>29</v>
      </c>
      <c r="F863" s="1" t="s">
        <v>14</v>
      </c>
      <c r="G863" s="1" t="s">
        <v>208</v>
      </c>
      <c r="H863" s="1" t="s">
        <v>210</v>
      </c>
      <c r="I863" s="1" t="s">
        <v>5317</v>
      </c>
      <c r="J863" s="2" t="s">
        <v>5318</v>
      </c>
      <c r="K863" s="2" t="s">
        <v>5319</v>
      </c>
      <c r="L863" s="2" t="s">
        <v>5320</v>
      </c>
      <c r="M863" s="3" t="str">
        <f>VLOOKUP(G863,справочник!$B$1:$C$94,2,0)</f>
        <v>МСК</v>
      </c>
    </row>
    <row r="864" spans="1:13" ht="55.8" thickBot="1" x14ac:dyDescent="0.35">
      <c r="A864" s="1" t="s">
        <v>131</v>
      </c>
      <c r="B864" s="1">
        <v>687</v>
      </c>
      <c r="C864" s="1" t="s">
        <v>5321</v>
      </c>
      <c r="D864" s="2" t="s">
        <v>5322</v>
      </c>
      <c r="E864" s="1" t="s">
        <v>29</v>
      </c>
      <c r="F864" s="1" t="s">
        <v>14</v>
      </c>
      <c r="G864" s="1" t="s">
        <v>208</v>
      </c>
      <c r="H864" s="1" t="s">
        <v>210</v>
      </c>
      <c r="I864" s="1" t="s">
        <v>5323</v>
      </c>
      <c r="J864" s="2" t="s">
        <v>5324</v>
      </c>
      <c r="K864" s="2" t="s">
        <v>5325</v>
      </c>
      <c r="L864" s="2" t="s">
        <v>5326</v>
      </c>
      <c r="M864" s="3" t="str">
        <f>VLOOKUP(G864,справочник!$B$1:$C$94,2,0)</f>
        <v>МСК</v>
      </c>
    </row>
    <row r="865" spans="1:13" ht="42" thickBot="1" x14ac:dyDescent="0.35">
      <c r="A865" s="1" t="s">
        <v>146</v>
      </c>
      <c r="B865" s="1">
        <v>169</v>
      </c>
      <c r="C865" s="1" t="s">
        <v>5327</v>
      </c>
      <c r="D865" s="2" t="s">
        <v>5328</v>
      </c>
      <c r="E865" s="1" t="s">
        <v>29</v>
      </c>
      <c r="F865" s="1" t="s">
        <v>14</v>
      </c>
      <c r="G865" s="1" t="s">
        <v>208</v>
      </c>
      <c r="H865" s="1" t="s">
        <v>210</v>
      </c>
      <c r="I865" s="1" t="s">
        <v>5329</v>
      </c>
      <c r="J865" s="2" t="s">
        <v>5330</v>
      </c>
      <c r="K865" s="2" t="s">
        <v>5331</v>
      </c>
      <c r="L865" s="2" t="s">
        <v>5332</v>
      </c>
      <c r="M865" s="3" t="str">
        <f>VLOOKUP(G865,справочник!$B$1:$C$94,2,0)</f>
        <v>МСК</v>
      </c>
    </row>
    <row r="866" spans="1:13" ht="42" thickBot="1" x14ac:dyDescent="0.35">
      <c r="A866" s="1" t="s">
        <v>146</v>
      </c>
      <c r="B866" s="1">
        <v>170</v>
      </c>
      <c r="C866" s="1" t="s">
        <v>5333</v>
      </c>
      <c r="D866" s="2" t="s">
        <v>5334</v>
      </c>
      <c r="E866" s="1" t="s">
        <v>29</v>
      </c>
      <c r="F866" s="1" t="s">
        <v>14</v>
      </c>
      <c r="G866" s="1" t="s">
        <v>208</v>
      </c>
      <c r="H866" s="1" t="s">
        <v>210</v>
      </c>
      <c r="I866" s="1" t="s">
        <v>5335</v>
      </c>
      <c r="J866" s="2" t="s">
        <v>1494</v>
      </c>
      <c r="K866" s="2" t="s">
        <v>5336</v>
      </c>
      <c r="L866" s="2" t="s">
        <v>5337</v>
      </c>
      <c r="M866" s="3" t="str">
        <f>VLOOKUP(G866,справочник!$B$1:$C$94,2,0)</f>
        <v>МСК</v>
      </c>
    </row>
    <row r="867" spans="1:13" ht="42" thickBot="1" x14ac:dyDescent="0.35">
      <c r="A867" s="1" t="s">
        <v>261</v>
      </c>
      <c r="B867" s="1">
        <v>1268</v>
      </c>
      <c r="C867" s="1" t="s">
        <v>5338</v>
      </c>
      <c r="D867" s="2" t="s">
        <v>5339</v>
      </c>
      <c r="E867" s="1" t="s">
        <v>29</v>
      </c>
      <c r="F867" s="1" t="s">
        <v>222</v>
      </c>
      <c r="G867" s="1" t="s">
        <v>740</v>
      </c>
      <c r="H867" s="1" t="s">
        <v>5340</v>
      </c>
      <c r="I867" s="1" t="s">
        <v>5341</v>
      </c>
      <c r="J867" s="2" t="s">
        <v>5342</v>
      </c>
      <c r="K867" s="2" t="s">
        <v>5343</v>
      </c>
      <c r="L867" s="2" t="s">
        <v>5344</v>
      </c>
      <c r="M867" s="3" t="str">
        <f>VLOOKUP(G867,справочник!$B$1:$C$94,2,0)</f>
        <v>МСК+1</v>
      </c>
    </row>
    <row r="868" spans="1:13" ht="28.2" thickBot="1" x14ac:dyDescent="0.35">
      <c r="A868" s="1" t="s">
        <v>177</v>
      </c>
      <c r="B868" s="1">
        <v>727</v>
      </c>
      <c r="C868" s="1" t="s">
        <v>5345</v>
      </c>
      <c r="D868" s="2" t="s">
        <v>5346</v>
      </c>
      <c r="E868" s="1" t="s">
        <v>29</v>
      </c>
      <c r="F868" s="1" t="s">
        <v>222</v>
      </c>
      <c r="G868" s="1" t="s">
        <v>740</v>
      </c>
      <c r="H868" s="1" t="s">
        <v>3349</v>
      </c>
      <c r="I868" s="1" t="s">
        <v>5347</v>
      </c>
      <c r="J868" s="2" t="s">
        <v>107</v>
      </c>
      <c r="K868" s="2" t="s">
        <v>5348</v>
      </c>
      <c r="L868" s="2" t="s">
        <v>5349</v>
      </c>
      <c r="M868" s="3" t="str">
        <f>VLOOKUP(G868,справочник!$B$1:$C$94,2,0)</f>
        <v>МСК+1</v>
      </c>
    </row>
    <row r="869" spans="1:13" ht="42" thickBot="1" x14ac:dyDescent="0.35">
      <c r="A869" s="1" t="s">
        <v>131</v>
      </c>
      <c r="B869" s="1">
        <v>550</v>
      </c>
      <c r="C869" s="1" t="s">
        <v>5350</v>
      </c>
      <c r="D869" s="2" t="s">
        <v>5351</v>
      </c>
      <c r="E869" s="1" t="s">
        <v>29</v>
      </c>
      <c r="F869" s="1" t="s">
        <v>222</v>
      </c>
      <c r="G869" s="1" t="s">
        <v>740</v>
      </c>
      <c r="H869" s="1" t="s">
        <v>3349</v>
      </c>
      <c r="I869" s="1" t="s">
        <v>5352</v>
      </c>
      <c r="J869" s="2" t="s">
        <v>5353</v>
      </c>
      <c r="K869" s="2" t="s">
        <v>5354</v>
      </c>
      <c r="L869" s="2" t="s">
        <v>5355</v>
      </c>
      <c r="M869" s="3" t="str">
        <f>VLOOKUP(G869,справочник!$B$1:$C$94,2,0)</f>
        <v>МСК+1</v>
      </c>
    </row>
    <row r="870" spans="1:13" ht="42" thickBot="1" x14ac:dyDescent="0.35">
      <c r="A870" s="1" t="s">
        <v>168</v>
      </c>
      <c r="B870" s="1">
        <v>150</v>
      </c>
      <c r="C870" s="1" t="s">
        <v>5356</v>
      </c>
      <c r="D870" s="2" t="s">
        <v>5357</v>
      </c>
      <c r="E870" s="1" t="s">
        <v>29</v>
      </c>
      <c r="F870" s="1" t="s">
        <v>222</v>
      </c>
      <c r="G870" s="1" t="s">
        <v>740</v>
      </c>
      <c r="H870" s="1" t="s">
        <v>3349</v>
      </c>
      <c r="I870" s="1" t="s">
        <v>5358</v>
      </c>
      <c r="J870" s="2" t="s">
        <v>5359</v>
      </c>
      <c r="K870" s="2" t="s">
        <v>5360</v>
      </c>
      <c r="L870" s="2" t="s">
        <v>5361</v>
      </c>
      <c r="M870" s="3" t="str">
        <f>VLOOKUP(G870,справочник!$B$1:$C$94,2,0)</f>
        <v>МСК+1</v>
      </c>
    </row>
    <row r="871" spans="1:13" ht="42" thickBot="1" x14ac:dyDescent="0.35">
      <c r="A871" s="1" t="s">
        <v>146</v>
      </c>
      <c r="B871" s="1">
        <v>186</v>
      </c>
      <c r="C871" s="1" t="s">
        <v>5362</v>
      </c>
      <c r="D871" s="2" t="s">
        <v>5363</v>
      </c>
      <c r="E871" s="1" t="s">
        <v>29</v>
      </c>
      <c r="F871" s="1" t="s">
        <v>222</v>
      </c>
      <c r="G871" s="1" t="s">
        <v>740</v>
      </c>
      <c r="H871" s="1" t="s">
        <v>3349</v>
      </c>
      <c r="I871" s="1" t="s">
        <v>5364</v>
      </c>
      <c r="J871" s="2" t="s">
        <v>5365</v>
      </c>
      <c r="K871" s="2" t="s">
        <v>5366</v>
      </c>
      <c r="L871" s="2" t="s">
        <v>5367</v>
      </c>
      <c r="M871" s="3" t="str">
        <f>VLOOKUP(G871,справочник!$B$1:$C$94,2,0)</f>
        <v>МСК+1</v>
      </c>
    </row>
    <row r="872" spans="1:13" ht="42" thickBot="1" x14ac:dyDescent="0.35">
      <c r="A872" s="1" t="s">
        <v>146</v>
      </c>
      <c r="B872" s="1">
        <v>188</v>
      </c>
      <c r="C872" s="1" t="s">
        <v>5368</v>
      </c>
      <c r="D872" s="2" t="s">
        <v>5369</v>
      </c>
      <c r="E872" s="1" t="s">
        <v>29</v>
      </c>
      <c r="F872" s="1" t="s">
        <v>222</v>
      </c>
      <c r="G872" s="1" t="s">
        <v>740</v>
      </c>
      <c r="H872" s="1" t="s">
        <v>3349</v>
      </c>
      <c r="I872" s="1" t="s">
        <v>5370</v>
      </c>
      <c r="J872" s="2" t="s">
        <v>5371</v>
      </c>
      <c r="K872" s="2" t="s">
        <v>5372</v>
      </c>
      <c r="L872" s="2" t="s">
        <v>5373</v>
      </c>
      <c r="M872" s="3" t="str">
        <f>VLOOKUP(G872,справочник!$B$1:$C$94,2,0)</f>
        <v>МСК+1</v>
      </c>
    </row>
    <row r="873" spans="1:13" ht="42" thickBot="1" x14ac:dyDescent="0.35">
      <c r="A873" s="1" t="s">
        <v>146</v>
      </c>
      <c r="B873" s="1">
        <v>185</v>
      </c>
      <c r="C873" s="1" t="s">
        <v>5374</v>
      </c>
      <c r="D873" s="2" t="s">
        <v>5375</v>
      </c>
      <c r="E873" s="1" t="s">
        <v>29</v>
      </c>
      <c r="F873" s="1" t="s">
        <v>222</v>
      </c>
      <c r="G873" s="1" t="s">
        <v>740</v>
      </c>
      <c r="H873" s="1" t="s">
        <v>3349</v>
      </c>
      <c r="I873" s="1" t="s">
        <v>5376</v>
      </c>
      <c r="J873" s="2" t="s">
        <v>5377</v>
      </c>
      <c r="K873" s="2" t="s">
        <v>5378</v>
      </c>
      <c r="L873" s="2" t="s">
        <v>5379</v>
      </c>
      <c r="M873" s="3" t="str">
        <f>VLOOKUP(G873,справочник!$B$1:$C$94,2,0)</f>
        <v>МСК+1</v>
      </c>
    </row>
    <row r="874" spans="1:13" ht="42" thickBot="1" x14ac:dyDescent="0.35">
      <c r="A874" s="1" t="s">
        <v>12</v>
      </c>
      <c r="B874" s="1">
        <v>2873</v>
      </c>
      <c r="C874" s="1" t="s">
        <v>5380</v>
      </c>
      <c r="D874" s="2" t="s">
        <v>5381</v>
      </c>
      <c r="E874" s="1" t="s">
        <v>29</v>
      </c>
      <c r="F874" s="1" t="s">
        <v>222</v>
      </c>
      <c r="G874" s="1" t="s">
        <v>740</v>
      </c>
      <c r="H874" s="1" t="s">
        <v>3349</v>
      </c>
      <c r="I874" s="1" t="s">
        <v>5382</v>
      </c>
      <c r="J874" s="2" t="s">
        <v>5383</v>
      </c>
      <c r="K874" s="2" t="s">
        <v>5384</v>
      </c>
      <c r="L874" s="2" t="s">
        <v>5385</v>
      </c>
      <c r="M874" s="3" t="str">
        <f>VLOOKUP(G874,справочник!$B$1:$C$94,2,0)</f>
        <v>МСК+1</v>
      </c>
    </row>
    <row r="875" spans="1:13" ht="28.2" thickBot="1" x14ac:dyDescent="0.35">
      <c r="A875" s="1" t="s">
        <v>177</v>
      </c>
      <c r="B875" s="1">
        <v>754</v>
      </c>
      <c r="C875" s="1" t="s">
        <v>5386</v>
      </c>
      <c r="D875" s="2" t="s">
        <v>5387</v>
      </c>
      <c r="E875" s="1" t="s">
        <v>29</v>
      </c>
      <c r="F875" s="1" t="s">
        <v>30</v>
      </c>
      <c r="G875" s="1" t="s">
        <v>31</v>
      </c>
      <c r="H875" s="1" t="s">
        <v>32</v>
      </c>
      <c r="I875" s="1" t="s">
        <v>5388</v>
      </c>
      <c r="J875" s="2" t="s">
        <v>5389</v>
      </c>
      <c r="K875" s="2" t="s">
        <v>5390</v>
      </c>
      <c r="L875" s="2" t="s">
        <v>5391</v>
      </c>
      <c r="M875" s="3" t="str">
        <f>VLOOKUP(G875,справочник!$B$1:$C$94,2,0)</f>
        <v>МСК</v>
      </c>
    </row>
    <row r="876" spans="1:13" ht="42" thickBot="1" x14ac:dyDescent="0.35">
      <c r="A876" s="1" t="s">
        <v>177</v>
      </c>
      <c r="B876" s="1">
        <v>774</v>
      </c>
      <c r="C876" s="1" t="s">
        <v>5392</v>
      </c>
      <c r="D876" s="2" t="s">
        <v>5393</v>
      </c>
      <c r="E876" s="1" t="s">
        <v>29</v>
      </c>
      <c r="F876" s="1" t="s">
        <v>30</v>
      </c>
      <c r="G876" s="1" t="s">
        <v>31</v>
      </c>
      <c r="H876" s="1" t="s">
        <v>32</v>
      </c>
      <c r="I876" s="1" t="s">
        <v>5394</v>
      </c>
      <c r="J876" s="2" t="s">
        <v>5395</v>
      </c>
      <c r="K876" s="2" t="s">
        <v>5396</v>
      </c>
      <c r="L876" s="2" t="s">
        <v>5397</v>
      </c>
      <c r="M876" s="3" t="str">
        <f>VLOOKUP(G876,справочник!$B$1:$C$94,2,0)</f>
        <v>МСК</v>
      </c>
    </row>
    <row r="877" spans="1:13" ht="42" thickBot="1" x14ac:dyDescent="0.35">
      <c r="A877" s="1" t="s">
        <v>146</v>
      </c>
      <c r="B877" s="1">
        <v>172</v>
      </c>
      <c r="C877" s="1" t="s">
        <v>5398</v>
      </c>
      <c r="D877" s="2" t="s">
        <v>5399</v>
      </c>
      <c r="E877" s="1" t="s">
        <v>29</v>
      </c>
      <c r="F877" s="1" t="s">
        <v>30</v>
      </c>
      <c r="G877" s="1" t="s">
        <v>31</v>
      </c>
      <c r="H877" s="1" t="s">
        <v>32</v>
      </c>
      <c r="I877" s="1" t="s">
        <v>5400</v>
      </c>
      <c r="J877" s="2" t="s">
        <v>5401</v>
      </c>
      <c r="K877" s="2" t="s">
        <v>5402</v>
      </c>
      <c r="L877" s="2" t="s">
        <v>5403</v>
      </c>
      <c r="M877" s="3" t="str">
        <f>VLOOKUP(G877,справочник!$B$1:$C$94,2,0)</f>
        <v>МСК</v>
      </c>
    </row>
    <row r="878" spans="1:13" ht="42" thickBot="1" x14ac:dyDescent="0.35">
      <c r="A878" s="1" t="s">
        <v>12</v>
      </c>
      <c r="B878" s="1">
        <v>3317</v>
      </c>
      <c r="C878" s="1" t="s">
        <v>5404</v>
      </c>
      <c r="D878" s="2" t="s">
        <v>5405</v>
      </c>
      <c r="E878" s="1" t="s">
        <v>29</v>
      </c>
      <c r="F878" s="1" t="s">
        <v>30</v>
      </c>
      <c r="G878" s="1" t="s">
        <v>31</v>
      </c>
      <c r="H878" s="1" t="s">
        <v>32</v>
      </c>
      <c r="I878" s="1" t="s">
        <v>5407</v>
      </c>
      <c r="J878" s="2" t="s">
        <v>441</v>
      </c>
      <c r="K878" s="2" t="s">
        <v>5408</v>
      </c>
      <c r="L878" s="2" t="s">
        <v>5406</v>
      </c>
      <c r="M878" s="3" t="str">
        <f>VLOOKUP(G878,справочник!$B$1:$C$94,2,0)</f>
        <v>МСК</v>
      </c>
    </row>
    <row r="879" spans="1:13" ht="42" thickBot="1" x14ac:dyDescent="0.35">
      <c r="A879" s="1" t="s">
        <v>146</v>
      </c>
      <c r="B879" s="1">
        <v>175</v>
      </c>
      <c r="C879" s="1" t="s">
        <v>5409</v>
      </c>
      <c r="D879" s="2" t="s">
        <v>5410</v>
      </c>
      <c r="E879" s="1" t="s">
        <v>29</v>
      </c>
      <c r="F879" s="1" t="s">
        <v>30</v>
      </c>
      <c r="G879" s="1" t="s">
        <v>31</v>
      </c>
      <c r="H879" s="1" t="s">
        <v>32</v>
      </c>
      <c r="I879" s="1" t="s">
        <v>5411</v>
      </c>
      <c r="J879" s="2" t="s">
        <v>5412</v>
      </c>
      <c r="K879" s="2" t="s">
        <v>5413</v>
      </c>
      <c r="L879" s="2" t="s">
        <v>5414</v>
      </c>
      <c r="M879" s="3" t="str">
        <f>VLOOKUP(G879,справочник!$B$1:$C$94,2,0)</f>
        <v>МСК</v>
      </c>
    </row>
    <row r="880" spans="1:13" ht="42" thickBot="1" x14ac:dyDescent="0.35">
      <c r="A880" s="1" t="s">
        <v>261</v>
      </c>
      <c r="B880" s="1">
        <v>780</v>
      </c>
      <c r="C880" s="1" t="s">
        <v>5415</v>
      </c>
      <c r="D880" s="2" t="s">
        <v>5416</v>
      </c>
      <c r="E880" s="1" t="s">
        <v>29</v>
      </c>
      <c r="F880" s="1" t="s">
        <v>30</v>
      </c>
      <c r="G880" s="1" t="s">
        <v>31</v>
      </c>
      <c r="H880" s="1" t="s">
        <v>955</v>
      </c>
      <c r="I880" s="1" t="s">
        <v>5418</v>
      </c>
      <c r="J880" s="2" t="s">
        <v>5419</v>
      </c>
      <c r="K880" s="2" t="s">
        <v>5420</v>
      </c>
      <c r="L880" s="2" t="s">
        <v>5417</v>
      </c>
      <c r="M880" s="3" t="str">
        <f>VLOOKUP(G880,справочник!$B$1:$C$94,2,0)</f>
        <v>МСК</v>
      </c>
    </row>
    <row r="881" spans="1:13" ht="42" thickBot="1" x14ac:dyDescent="0.35">
      <c r="A881" s="1" t="s">
        <v>146</v>
      </c>
      <c r="B881" s="1">
        <v>174</v>
      </c>
      <c r="C881" s="1" t="s">
        <v>5421</v>
      </c>
      <c r="D881" s="2" t="s">
        <v>5422</v>
      </c>
      <c r="E881" s="1" t="s">
        <v>29</v>
      </c>
      <c r="F881" s="1" t="s">
        <v>30</v>
      </c>
      <c r="G881" s="1" t="s">
        <v>31</v>
      </c>
      <c r="H881" s="1" t="s">
        <v>32</v>
      </c>
      <c r="I881" s="1" t="s">
        <v>5423</v>
      </c>
      <c r="J881" s="2" t="s">
        <v>2657</v>
      </c>
      <c r="K881" s="2" t="s">
        <v>5424</v>
      </c>
      <c r="L881" s="2" t="s">
        <v>5425</v>
      </c>
      <c r="M881" s="3" t="str">
        <f>VLOOKUP(G881,справочник!$B$1:$C$94,2,0)</f>
        <v>МСК</v>
      </c>
    </row>
    <row r="882" spans="1:13" ht="28.2" thickBot="1" x14ac:dyDescent="0.35">
      <c r="A882" s="1" t="s">
        <v>177</v>
      </c>
      <c r="B882" s="1">
        <v>764</v>
      </c>
      <c r="C882" s="1" t="s">
        <v>5426</v>
      </c>
      <c r="D882" s="2" t="s">
        <v>5427</v>
      </c>
      <c r="E882" s="1" t="s">
        <v>29</v>
      </c>
      <c r="F882" s="1" t="s">
        <v>30</v>
      </c>
      <c r="G882" s="1" t="s">
        <v>31</v>
      </c>
      <c r="H882" s="1" t="s">
        <v>32</v>
      </c>
      <c r="I882" s="1" t="s">
        <v>5428</v>
      </c>
      <c r="J882" s="2" t="s">
        <v>5429</v>
      </c>
      <c r="K882" s="2" t="s">
        <v>5430</v>
      </c>
      <c r="L882" s="2" t="s">
        <v>5431</v>
      </c>
      <c r="M882" s="3" t="str">
        <f>VLOOKUP(G882,справочник!$B$1:$C$94,2,0)</f>
        <v>МСК</v>
      </c>
    </row>
    <row r="883" spans="1:13" ht="42" thickBot="1" x14ac:dyDescent="0.35">
      <c r="A883" s="1" t="s">
        <v>177</v>
      </c>
      <c r="B883" s="1">
        <v>749</v>
      </c>
      <c r="C883" s="1" t="s">
        <v>5432</v>
      </c>
      <c r="D883" s="2" t="s">
        <v>5433</v>
      </c>
      <c r="E883" s="1" t="s">
        <v>29</v>
      </c>
      <c r="F883" s="1" t="s">
        <v>30</v>
      </c>
      <c r="G883" s="1" t="s">
        <v>31</v>
      </c>
      <c r="H883" s="1" t="s">
        <v>32</v>
      </c>
      <c r="I883" s="1" t="s">
        <v>5436</v>
      </c>
      <c r="J883" s="2" t="s">
        <v>5437</v>
      </c>
      <c r="K883" s="2" t="s">
        <v>5434</v>
      </c>
      <c r="L883" s="2" t="s">
        <v>5435</v>
      </c>
      <c r="M883" s="3" t="str">
        <f>VLOOKUP(G883,справочник!$B$1:$C$94,2,0)</f>
        <v>МСК</v>
      </c>
    </row>
    <row r="884" spans="1:13" ht="42" thickBot="1" x14ac:dyDescent="0.35">
      <c r="A884" s="1" t="s">
        <v>54</v>
      </c>
      <c r="B884" s="1">
        <v>3364</v>
      </c>
      <c r="C884" s="1" t="s">
        <v>5438</v>
      </c>
      <c r="D884" s="2" t="s">
        <v>5439</v>
      </c>
      <c r="E884" s="1" t="s">
        <v>29</v>
      </c>
      <c r="F884" s="1" t="s">
        <v>30</v>
      </c>
      <c r="G884" s="1" t="s">
        <v>31</v>
      </c>
      <c r="H884" s="1" t="s">
        <v>32</v>
      </c>
      <c r="I884" s="1" t="s">
        <v>5441</v>
      </c>
      <c r="J884" s="2" t="s">
        <v>5442</v>
      </c>
      <c r="K884" s="2" t="s">
        <v>5443</v>
      </c>
      <c r="L884" s="2" t="s">
        <v>5440</v>
      </c>
      <c r="M884" s="3" t="str">
        <f>VLOOKUP(G884,справочник!$B$1:$C$94,2,0)</f>
        <v>МСК</v>
      </c>
    </row>
    <row r="885" spans="1:13" ht="42" thickBot="1" x14ac:dyDescent="0.35">
      <c r="A885" s="1" t="s">
        <v>146</v>
      </c>
      <c r="B885" s="1">
        <v>171</v>
      </c>
      <c r="C885" s="1" t="s">
        <v>5444</v>
      </c>
      <c r="D885" s="2" t="s">
        <v>5445</v>
      </c>
      <c r="E885" s="1" t="s">
        <v>29</v>
      </c>
      <c r="F885" s="1" t="s">
        <v>30</v>
      </c>
      <c r="G885" s="1" t="s">
        <v>31</v>
      </c>
      <c r="H885" s="1" t="s">
        <v>32</v>
      </c>
      <c r="I885" s="1" t="s">
        <v>5446</v>
      </c>
      <c r="J885" s="2" t="s">
        <v>5447</v>
      </c>
      <c r="K885" s="2" t="s">
        <v>5448</v>
      </c>
      <c r="L885" s="2" t="s">
        <v>5449</v>
      </c>
      <c r="M885" s="3" t="str">
        <f>VLOOKUP(G885,справочник!$B$1:$C$94,2,0)</f>
        <v>МСК</v>
      </c>
    </row>
    <row r="886" spans="1:13" ht="42" thickBot="1" x14ac:dyDescent="0.35">
      <c r="A886" s="1" t="s">
        <v>146</v>
      </c>
      <c r="B886" s="1">
        <v>176</v>
      </c>
      <c r="C886" s="1" t="s">
        <v>5450</v>
      </c>
      <c r="D886" s="2" t="s">
        <v>5451</v>
      </c>
      <c r="E886" s="1" t="s">
        <v>29</v>
      </c>
      <c r="F886" s="1" t="s">
        <v>30</v>
      </c>
      <c r="G886" s="1" t="s">
        <v>31</v>
      </c>
      <c r="H886" s="1" t="s">
        <v>32</v>
      </c>
      <c r="I886" s="1" t="s">
        <v>5453</v>
      </c>
      <c r="J886" s="2" t="s">
        <v>381</v>
      </c>
      <c r="K886" s="2" t="s">
        <v>5454</v>
      </c>
      <c r="L886" s="2" t="s">
        <v>5452</v>
      </c>
      <c r="M886" s="3" t="str">
        <f>VLOOKUP(G886,справочник!$B$1:$C$94,2,0)</f>
        <v>МСК</v>
      </c>
    </row>
    <row r="887" spans="1:13" ht="28.2" thickBot="1" x14ac:dyDescent="0.35">
      <c r="A887" s="1" t="s">
        <v>131</v>
      </c>
      <c r="B887" s="1">
        <v>678</v>
      </c>
      <c r="C887" s="1" t="s">
        <v>5455</v>
      </c>
      <c r="D887" s="2" t="s">
        <v>5456</v>
      </c>
      <c r="E887" s="1" t="s">
        <v>29</v>
      </c>
      <c r="F887" s="1" t="s">
        <v>30</v>
      </c>
      <c r="G887" s="1" t="s">
        <v>31</v>
      </c>
      <c r="H887" s="1" t="s">
        <v>32</v>
      </c>
      <c r="I887" s="1" t="s">
        <v>5457</v>
      </c>
      <c r="J887" s="2" t="s">
        <v>5039</v>
      </c>
      <c r="K887" s="2" t="s">
        <v>5458</v>
      </c>
      <c r="L887" s="2" t="s">
        <v>5459</v>
      </c>
      <c r="M887" s="3" t="str">
        <f>VLOOKUP(G887,справочник!$B$1:$C$94,2,0)</f>
        <v>МСК</v>
      </c>
    </row>
    <row r="888" spans="1:13" ht="42" thickBot="1" x14ac:dyDescent="0.35">
      <c r="A888" s="1" t="s">
        <v>146</v>
      </c>
      <c r="B888" s="1">
        <v>179</v>
      </c>
      <c r="C888" s="1" t="s">
        <v>5460</v>
      </c>
      <c r="D888" s="2" t="s">
        <v>5461</v>
      </c>
      <c r="E888" s="1" t="s">
        <v>29</v>
      </c>
      <c r="F888" s="1" t="s">
        <v>30</v>
      </c>
      <c r="G888" s="1" t="s">
        <v>31</v>
      </c>
      <c r="H888" s="1" t="s">
        <v>32</v>
      </c>
      <c r="I888" s="1" t="s">
        <v>5462</v>
      </c>
      <c r="J888" s="2" t="s">
        <v>5463</v>
      </c>
      <c r="K888" s="2" t="s">
        <v>5464</v>
      </c>
      <c r="L888" s="2" t="s">
        <v>5465</v>
      </c>
      <c r="M888" s="3" t="str">
        <f>VLOOKUP(G888,справочник!$B$1:$C$94,2,0)</f>
        <v>МСК</v>
      </c>
    </row>
    <row r="889" spans="1:13" ht="42" thickBot="1" x14ac:dyDescent="0.35">
      <c r="A889" s="1" t="s">
        <v>83</v>
      </c>
      <c r="B889" s="1">
        <v>704</v>
      </c>
      <c r="C889" s="1" t="s">
        <v>5466</v>
      </c>
      <c r="D889" s="2" t="s">
        <v>5467</v>
      </c>
      <c r="E889" s="1" t="s">
        <v>29</v>
      </c>
      <c r="F889" s="1" t="s">
        <v>30</v>
      </c>
      <c r="G889" s="1" t="s">
        <v>31</v>
      </c>
      <c r="H889" s="1" t="s">
        <v>5468</v>
      </c>
      <c r="I889" s="1" t="s">
        <v>5469</v>
      </c>
      <c r="J889" s="2" t="s">
        <v>5470</v>
      </c>
      <c r="K889" s="2" t="s">
        <v>5471</v>
      </c>
      <c r="L889" s="2" t="s">
        <v>5472</v>
      </c>
      <c r="M889" s="3" t="str">
        <f>VLOOKUP(G889,справочник!$B$1:$C$94,2,0)</f>
        <v>МСК</v>
      </c>
    </row>
    <row r="890" spans="1:13" ht="42" thickBot="1" x14ac:dyDescent="0.35">
      <c r="A890" s="1" t="s">
        <v>146</v>
      </c>
      <c r="B890" s="1">
        <v>180</v>
      </c>
      <c r="C890" s="1" t="s">
        <v>5473</v>
      </c>
      <c r="D890" s="2" t="s">
        <v>5474</v>
      </c>
      <c r="E890" s="1" t="s">
        <v>29</v>
      </c>
      <c r="F890" s="1" t="s">
        <v>30</v>
      </c>
      <c r="G890" s="1" t="s">
        <v>31</v>
      </c>
      <c r="H890" s="1" t="s">
        <v>32</v>
      </c>
      <c r="I890" s="1" t="s">
        <v>5476</v>
      </c>
      <c r="J890" s="2" t="s">
        <v>5477</v>
      </c>
      <c r="K890" s="2" t="s">
        <v>5478</v>
      </c>
      <c r="L890" s="2" t="s">
        <v>5475</v>
      </c>
      <c r="M890" s="3" t="str">
        <f>VLOOKUP(G890,справочник!$B$1:$C$94,2,0)</f>
        <v>МСК</v>
      </c>
    </row>
    <row r="891" spans="1:13" ht="42" thickBot="1" x14ac:dyDescent="0.35">
      <c r="A891" s="1" t="s">
        <v>261</v>
      </c>
      <c r="B891" s="1">
        <v>929</v>
      </c>
      <c r="C891" s="1" t="s">
        <v>5479</v>
      </c>
      <c r="D891" s="2" t="s">
        <v>5480</v>
      </c>
      <c r="E891" s="1" t="s">
        <v>29</v>
      </c>
      <c r="F891" s="1" t="s">
        <v>30</v>
      </c>
      <c r="G891" s="1" t="s">
        <v>31</v>
      </c>
      <c r="H891" s="1" t="s">
        <v>32</v>
      </c>
      <c r="I891" s="1" t="s">
        <v>5483</v>
      </c>
      <c r="J891" s="2" t="s">
        <v>5484</v>
      </c>
      <c r="K891" s="2" t="s">
        <v>5481</v>
      </c>
      <c r="L891" s="2" t="s">
        <v>5482</v>
      </c>
      <c r="M891" s="3" t="str">
        <f>VLOOKUP(G891,справочник!$B$1:$C$94,2,0)</f>
        <v>МСК</v>
      </c>
    </row>
    <row r="892" spans="1:13" ht="42" thickBot="1" x14ac:dyDescent="0.35">
      <c r="A892" s="1" t="s">
        <v>3608</v>
      </c>
      <c r="B892" s="1">
        <v>710</v>
      </c>
      <c r="C892" s="1" t="s">
        <v>5485</v>
      </c>
      <c r="D892" s="2" t="s">
        <v>5486</v>
      </c>
      <c r="E892" s="1" t="s">
        <v>29</v>
      </c>
      <c r="F892" s="1" t="s">
        <v>30</v>
      </c>
      <c r="G892" s="1" t="s">
        <v>31</v>
      </c>
      <c r="H892" s="1" t="s">
        <v>32</v>
      </c>
      <c r="I892" s="1" t="s">
        <v>5487</v>
      </c>
      <c r="J892" s="2" t="s">
        <v>5488</v>
      </c>
      <c r="K892" s="2" t="s">
        <v>5489</v>
      </c>
      <c r="L892" s="2" t="s">
        <v>5490</v>
      </c>
      <c r="M892" s="3" t="str">
        <f>VLOOKUP(G892,справочник!$B$1:$C$94,2,0)</f>
        <v>МСК</v>
      </c>
    </row>
    <row r="893" spans="1:13" ht="42" thickBot="1" x14ac:dyDescent="0.35">
      <c r="A893" s="1" t="s">
        <v>146</v>
      </c>
      <c r="B893" s="1">
        <v>181</v>
      </c>
      <c r="C893" s="1" t="s">
        <v>5491</v>
      </c>
      <c r="D893" s="2" t="s">
        <v>5492</v>
      </c>
      <c r="E893" s="1" t="s">
        <v>29</v>
      </c>
      <c r="F893" s="1" t="s">
        <v>30</v>
      </c>
      <c r="G893" s="1" t="s">
        <v>31</v>
      </c>
      <c r="H893" s="1" t="s">
        <v>32</v>
      </c>
      <c r="I893" s="1" t="s">
        <v>5493</v>
      </c>
      <c r="J893" s="2" t="s">
        <v>5494</v>
      </c>
      <c r="K893" s="2" t="s">
        <v>5495</v>
      </c>
      <c r="L893" s="2" t="s">
        <v>5496</v>
      </c>
      <c r="M893" s="3" t="str">
        <f>VLOOKUP(G893,справочник!$B$1:$C$94,2,0)</f>
        <v>МСК</v>
      </c>
    </row>
    <row r="894" spans="1:13" ht="42" thickBot="1" x14ac:dyDescent="0.35">
      <c r="A894" s="1" t="s">
        <v>3809</v>
      </c>
      <c r="B894" s="1">
        <v>682</v>
      </c>
      <c r="C894" s="1" t="s">
        <v>5497</v>
      </c>
      <c r="D894" s="2" t="s">
        <v>5498</v>
      </c>
      <c r="E894" s="1" t="s">
        <v>29</v>
      </c>
      <c r="F894" s="1" t="s">
        <v>30</v>
      </c>
      <c r="G894" s="1" t="s">
        <v>31</v>
      </c>
      <c r="H894" s="1" t="s">
        <v>32</v>
      </c>
      <c r="I894" s="1" t="s">
        <v>5499</v>
      </c>
      <c r="J894" s="2" t="s">
        <v>5500</v>
      </c>
      <c r="K894" s="2" t="s">
        <v>5501</v>
      </c>
      <c r="L894" s="2" t="s">
        <v>5502</v>
      </c>
      <c r="M894" s="3" t="str">
        <f>VLOOKUP(G894,справочник!$B$1:$C$94,2,0)</f>
        <v>МСК</v>
      </c>
    </row>
    <row r="895" spans="1:13" ht="55.8" thickBot="1" x14ac:dyDescent="0.35">
      <c r="A895" s="1" t="s">
        <v>131</v>
      </c>
      <c r="B895" s="1">
        <v>722</v>
      </c>
      <c r="C895" s="1" t="s">
        <v>5503</v>
      </c>
      <c r="D895" s="2" t="s">
        <v>5504</v>
      </c>
      <c r="E895" s="1" t="s">
        <v>29</v>
      </c>
      <c r="F895" s="1" t="s">
        <v>30</v>
      </c>
      <c r="G895" s="1" t="s">
        <v>31</v>
      </c>
      <c r="H895" s="1" t="s">
        <v>32</v>
      </c>
      <c r="I895" s="1" t="s">
        <v>5505</v>
      </c>
      <c r="J895" s="2" t="s">
        <v>5506</v>
      </c>
      <c r="K895" s="2" t="s">
        <v>5507</v>
      </c>
      <c r="L895" s="2" t="s">
        <v>5508</v>
      </c>
      <c r="M895" s="3" t="str">
        <f>VLOOKUP(G895,справочник!$B$1:$C$94,2,0)</f>
        <v>МСК</v>
      </c>
    </row>
    <row r="896" spans="1:13" ht="42" thickBot="1" x14ac:dyDescent="0.35">
      <c r="A896" s="1" t="s">
        <v>146</v>
      </c>
      <c r="B896" s="1">
        <v>330</v>
      </c>
      <c r="C896" s="1" t="s">
        <v>5509</v>
      </c>
      <c r="D896" s="2" t="s">
        <v>5510</v>
      </c>
      <c r="E896" s="1" t="s">
        <v>29</v>
      </c>
      <c r="F896" s="1" t="s">
        <v>30</v>
      </c>
      <c r="G896" s="1" t="s">
        <v>31</v>
      </c>
      <c r="H896" s="1" t="s">
        <v>32</v>
      </c>
      <c r="I896" s="1" t="s">
        <v>5511</v>
      </c>
      <c r="J896" s="2" t="s">
        <v>5512</v>
      </c>
      <c r="K896" s="2" t="s">
        <v>5513</v>
      </c>
      <c r="L896" s="2" t="s">
        <v>5514</v>
      </c>
      <c r="M896" s="3" t="str">
        <f>VLOOKUP(G896,справочник!$B$1:$C$94,2,0)</f>
        <v>МСК</v>
      </c>
    </row>
    <row r="897" spans="1:13" ht="42" thickBot="1" x14ac:dyDescent="0.35">
      <c r="A897" s="1" t="s">
        <v>146</v>
      </c>
      <c r="B897" s="1">
        <v>182</v>
      </c>
      <c r="C897" s="1" t="s">
        <v>5515</v>
      </c>
      <c r="D897" s="2" t="s">
        <v>5516</v>
      </c>
      <c r="E897" s="1" t="s">
        <v>29</v>
      </c>
      <c r="F897" s="1" t="s">
        <v>30</v>
      </c>
      <c r="G897" s="1" t="s">
        <v>31</v>
      </c>
      <c r="H897" s="1" t="s">
        <v>32</v>
      </c>
      <c r="I897" s="1" t="s">
        <v>5517</v>
      </c>
      <c r="J897" s="2" t="s">
        <v>5518</v>
      </c>
      <c r="K897" s="2" t="s">
        <v>5519</v>
      </c>
      <c r="L897" s="2" t="s">
        <v>5520</v>
      </c>
      <c r="M897" s="3" t="str">
        <f>VLOOKUP(G897,справочник!$B$1:$C$94,2,0)</f>
        <v>МСК</v>
      </c>
    </row>
    <row r="898" spans="1:13" ht="28.2" thickBot="1" x14ac:dyDescent="0.35">
      <c r="A898" s="1" t="s">
        <v>12</v>
      </c>
      <c r="B898" s="1">
        <v>3274</v>
      </c>
      <c r="C898" s="1" t="s">
        <v>5521</v>
      </c>
      <c r="D898" s="2" t="s">
        <v>5522</v>
      </c>
      <c r="E898" s="1" t="s">
        <v>29</v>
      </c>
      <c r="F898" s="1" t="s">
        <v>30</v>
      </c>
      <c r="G898" s="1" t="s">
        <v>31</v>
      </c>
      <c r="H898" s="1" t="s">
        <v>32</v>
      </c>
      <c r="I898" s="1" t="s">
        <v>5523</v>
      </c>
      <c r="J898" s="2" t="s">
        <v>4496</v>
      </c>
      <c r="K898" s="2" t="s">
        <v>5524</v>
      </c>
      <c r="L898" s="2" t="s">
        <v>5525</v>
      </c>
      <c r="M898" s="3" t="str">
        <f>VLOOKUP(G898,справочник!$B$1:$C$94,2,0)</f>
        <v>МСК</v>
      </c>
    </row>
    <row r="899" spans="1:13" ht="42" thickBot="1" x14ac:dyDescent="0.35">
      <c r="A899" s="1" t="s">
        <v>12</v>
      </c>
      <c r="B899" s="1">
        <v>1373</v>
      </c>
      <c r="C899" s="1" t="s">
        <v>5526</v>
      </c>
      <c r="D899" s="2" t="s">
        <v>5527</v>
      </c>
      <c r="E899" s="1" t="s">
        <v>29</v>
      </c>
      <c r="F899" s="1" t="s">
        <v>30</v>
      </c>
      <c r="G899" s="1" t="s">
        <v>31</v>
      </c>
      <c r="H899" s="1" t="s">
        <v>32</v>
      </c>
      <c r="I899" s="1" t="s">
        <v>5528</v>
      </c>
      <c r="J899" s="2" t="s">
        <v>5529</v>
      </c>
      <c r="K899" s="2" t="s">
        <v>5530</v>
      </c>
      <c r="L899" s="2" t="s">
        <v>5531</v>
      </c>
      <c r="M899" s="3" t="str">
        <f>VLOOKUP(G899,справочник!$B$1:$C$94,2,0)</f>
        <v>МСК</v>
      </c>
    </row>
    <row r="900" spans="1:13" ht="42" thickBot="1" x14ac:dyDescent="0.35">
      <c r="A900" s="1" t="s">
        <v>146</v>
      </c>
      <c r="B900" s="1">
        <v>1967</v>
      </c>
      <c r="C900" s="1" t="s">
        <v>5532</v>
      </c>
      <c r="D900" s="2" t="s">
        <v>5533</v>
      </c>
      <c r="E900" s="1" t="s">
        <v>20</v>
      </c>
      <c r="F900" s="1" t="s">
        <v>30</v>
      </c>
      <c r="G900" s="1" t="s">
        <v>31</v>
      </c>
      <c r="H900" s="1" t="s">
        <v>32</v>
      </c>
      <c r="I900" s="1" t="s">
        <v>5535</v>
      </c>
      <c r="J900" s="2" t="s">
        <v>5536</v>
      </c>
      <c r="K900" s="2" t="s">
        <v>5537</v>
      </c>
      <c r="L900" s="2" t="s">
        <v>5534</v>
      </c>
      <c r="M900" s="3" t="str">
        <f>VLOOKUP(G900,справочник!$B$1:$C$94,2,0)</f>
        <v>МСК</v>
      </c>
    </row>
    <row r="901" spans="1:13" ht="69.599999999999994" thickBot="1" x14ac:dyDescent="0.35">
      <c r="A901" s="1" t="s">
        <v>12</v>
      </c>
      <c r="B901" s="1">
        <v>3878</v>
      </c>
      <c r="C901" s="1" t="s">
        <v>5538</v>
      </c>
      <c r="D901" s="2" t="s">
        <v>5539</v>
      </c>
      <c r="E901" s="1" t="s">
        <v>13</v>
      </c>
      <c r="F901" s="1" t="s">
        <v>30</v>
      </c>
      <c r="G901" s="1" t="s">
        <v>31</v>
      </c>
      <c r="H901" s="1" t="s">
        <v>32</v>
      </c>
      <c r="I901" s="1" t="s">
        <v>5540</v>
      </c>
      <c r="J901" s="2" t="s">
        <v>5541</v>
      </c>
      <c r="K901" s="2" t="s">
        <v>5542</v>
      </c>
      <c r="L901" s="2" t="s">
        <v>5543</v>
      </c>
      <c r="M901" s="3" t="str">
        <f>VLOOKUP(G901,справочник!$B$1:$C$94,2,0)</f>
        <v>МСК</v>
      </c>
    </row>
    <row r="902" spans="1:13" ht="42" thickBot="1" x14ac:dyDescent="0.35">
      <c r="A902" s="1" t="s">
        <v>12</v>
      </c>
      <c r="B902" s="1">
        <v>1149</v>
      </c>
      <c r="C902" s="1" t="s">
        <v>5544</v>
      </c>
      <c r="D902" s="2" t="s">
        <v>5545</v>
      </c>
      <c r="E902" s="1" t="s">
        <v>29</v>
      </c>
      <c r="F902" s="1" t="s">
        <v>30</v>
      </c>
      <c r="G902" s="1" t="s">
        <v>31</v>
      </c>
      <c r="H902" s="1" t="s">
        <v>32</v>
      </c>
      <c r="I902" s="1" t="s">
        <v>5546</v>
      </c>
      <c r="J902" s="2" t="s">
        <v>5547</v>
      </c>
      <c r="K902" s="2" t="s">
        <v>5548</v>
      </c>
      <c r="L902" s="2" t="s">
        <v>5549</v>
      </c>
      <c r="M902" s="3" t="str">
        <f>VLOOKUP(G902,справочник!$B$1:$C$94,2,0)</f>
        <v>МСК</v>
      </c>
    </row>
    <row r="903" spans="1:13" ht="28.2" thickBot="1" x14ac:dyDescent="0.35">
      <c r="A903" s="1" t="s">
        <v>12</v>
      </c>
      <c r="B903" s="1">
        <v>3163</v>
      </c>
      <c r="C903" s="1" t="s">
        <v>5550</v>
      </c>
      <c r="D903" s="2" t="s">
        <v>5551</v>
      </c>
      <c r="E903" s="1" t="s">
        <v>29</v>
      </c>
      <c r="F903" s="1" t="s">
        <v>30</v>
      </c>
      <c r="G903" s="1" t="s">
        <v>31</v>
      </c>
      <c r="H903" s="1" t="s">
        <v>32</v>
      </c>
      <c r="I903" s="1" t="s">
        <v>5552</v>
      </c>
      <c r="J903" s="2" t="s">
        <v>5553</v>
      </c>
      <c r="K903" s="2" t="s">
        <v>5554</v>
      </c>
      <c r="L903" s="2" t="s">
        <v>5555</v>
      </c>
      <c r="M903" s="3" t="str">
        <f>VLOOKUP(G903,справочник!$B$1:$C$94,2,0)</f>
        <v>МСК</v>
      </c>
    </row>
    <row r="904" spans="1:13" ht="55.8" thickBot="1" x14ac:dyDescent="0.35">
      <c r="A904" s="1" t="s">
        <v>17</v>
      </c>
      <c r="B904" s="1">
        <v>3822</v>
      </c>
      <c r="C904" s="1" t="s">
        <v>5556</v>
      </c>
      <c r="D904" s="2" t="s">
        <v>5557</v>
      </c>
      <c r="E904" s="1" t="s">
        <v>20</v>
      </c>
      <c r="F904" s="1" t="s">
        <v>30</v>
      </c>
      <c r="G904" s="1" t="s">
        <v>31</v>
      </c>
      <c r="H904" s="1" t="s">
        <v>32</v>
      </c>
      <c r="I904" s="1" t="s">
        <v>5559</v>
      </c>
      <c r="J904" s="2" t="s">
        <v>5560</v>
      </c>
      <c r="K904" s="2" t="s">
        <v>5561</v>
      </c>
      <c r="L904" s="2" t="s">
        <v>5558</v>
      </c>
      <c r="M904" s="3" t="str">
        <f>VLOOKUP(G904,справочник!$B$1:$C$94,2,0)</f>
        <v>МСК</v>
      </c>
    </row>
    <row r="905" spans="1:13" ht="42" thickBot="1" x14ac:dyDescent="0.35">
      <c r="A905" s="1" t="s">
        <v>54</v>
      </c>
      <c r="B905" s="1">
        <v>3671</v>
      </c>
      <c r="C905" s="1" t="s">
        <v>5562</v>
      </c>
      <c r="D905" s="2" t="s">
        <v>5563</v>
      </c>
      <c r="E905" s="1" t="s">
        <v>104</v>
      </c>
      <c r="F905" s="1" t="s">
        <v>30</v>
      </c>
      <c r="G905" s="1" t="s">
        <v>31</v>
      </c>
      <c r="H905" s="1" t="s">
        <v>32</v>
      </c>
      <c r="I905" s="1" t="s">
        <v>5564</v>
      </c>
      <c r="J905" s="2" t="s">
        <v>435</v>
      </c>
      <c r="K905" s="2" t="s">
        <v>5565</v>
      </c>
      <c r="L905" s="2" t="s">
        <v>5566</v>
      </c>
      <c r="M905" s="3" t="str">
        <f>VLOOKUP(G905,справочник!$B$1:$C$94,2,0)</f>
        <v>МСК</v>
      </c>
    </row>
    <row r="906" spans="1:13" ht="42" thickBot="1" x14ac:dyDescent="0.35">
      <c r="A906" s="1" t="s">
        <v>131</v>
      </c>
      <c r="B906" s="1">
        <v>4076</v>
      </c>
      <c r="C906" s="1" t="s">
        <v>5567</v>
      </c>
      <c r="D906" s="2" t="s">
        <v>5568</v>
      </c>
      <c r="E906" s="1" t="s">
        <v>104</v>
      </c>
      <c r="F906" s="1" t="s">
        <v>30</v>
      </c>
      <c r="G906" s="1" t="s">
        <v>31</v>
      </c>
      <c r="H906" s="1" t="s">
        <v>92</v>
      </c>
      <c r="I906" s="1" t="s">
        <v>5569</v>
      </c>
      <c r="J906" s="2" t="s">
        <v>974</v>
      </c>
      <c r="K906" s="2" t="s">
        <v>5570</v>
      </c>
      <c r="L906" s="2" t="s">
        <v>5571</v>
      </c>
      <c r="M906" s="3" t="str">
        <f>VLOOKUP(G906,справочник!$B$1:$C$94,2,0)</f>
        <v>МСК</v>
      </c>
    </row>
    <row r="907" spans="1:13" ht="42" thickBot="1" x14ac:dyDescent="0.35">
      <c r="A907" s="1" t="s">
        <v>621</v>
      </c>
      <c r="B907" s="1">
        <v>3604</v>
      </c>
      <c r="C907" s="1" t="s">
        <v>5572</v>
      </c>
      <c r="D907" s="2" t="s">
        <v>5573</v>
      </c>
      <c r="E907" s="1" t="s">
        <v>20</v>
      </c>
      <c r="F907" s="1" t="s">
        <v>30</v>
      </c>
      <c r="G907" s="1" t="s">
        <v>31</v>
      </c>
      <c r="H907" s="1" t="s">
        <v>32</v>
      </c>
      <c r="I907" s="1" t="s">
        <v>5576</v>
      </c>
      <c r="J907" s="2" t="s">
        <v>5577</v>
      </c>
      <c r="K907" s="2" t="s">
        <v>5574</v>
      </c>
      <c r="L907" s="2" t="s">
        <v>5575</v>
      </c>
      <c r="M907" s="3" t="str">
        <f>VLOOKUP(G907,справочник!$B$1:$C$94,2,0)</f>
        <v>МСК</v>
      </c>
    </row>
    <row r="908" spans="1:13" ht="55.8" thickBot="1" x14ac:dyDescent="0.35">
      <c r="A908" s="1" t="s">
        <v>12</v>
      </c>
      <c r="B908" s="1">
        <v>3414</v>
      </c>
      <c r="C908" s="1" t="s">
        <v>5578</v>
      </c>
      <c r="D908" s="2" t="s">
        <v>5579</v>
      </c>
      <c r="E908" s="1" t="s">
        <v>20</v>
      </c>
      <c r="F908" s="1" t="s">
        <v>30</v>
      </c>
      <c r="G908" s="1" t="s">
        <v>31</v>
      </c>
      <c r="H908" s="1" t="s">
        <v>32</v>
      </c>
      <c r="I908" s="1" t="s">
        <v>5581</v>
      </c>
      <c r="J908" s="2" t="s">
        <v>5582</v>
      </c>
      <c r="K908" s="2" t="s">
        <v>5583</v>
      </c>
      <c r="L908" s="2" t="s">
        <v>5580</v>
      </c>
      <c r="M908" s="3" t="str">
        <f>VLOOKUP(G908,справочник!$B$1:$C$94,2,0)</f>
        <v>МСК</v>
      </c>
    </row>
    <row r="909" spans="1:13" ht="55.8" thickBot="1" x14ac:dyDescent="0.35">
      <c r="A909" s="1" t="s">
        <v>146</v>
      </c>
      <c r="B909" s="1">
        <v>465</v>
      </c>
      <c r="C909" s="1" t="s">
        <v>5584</v>
      </c>
      <c r="D909" s="2" t="s">
        <v>5585</v>
      </c>
      <c r="E909" s="1" t="s">
        <v>29</v>
      </c>
      <c r="F909" s="1" t="s">
        <v>30</v>
      </c>
      <c r="G909" s="1" t="s">
        <v>31</v>
      </c>
      <c r="H909" s="1" t="s">
        <v>32</v>
      </c>
      <c r="I909" s="1" t="s">
        <v>5586</v>
      </c>
      <c r="J909" s="2" t="s">
        <v>381</v>
      </c>
      <c r="K909" s="2" t="s">
        <v>5587</v>
      </c>
      <c r="L909" s="2" t="s">
        <v>5588</v>
      </c>
      <c r="M909" s="3" t="str">
        <f>VLOOKUP(G909,справочник!$B$1:$C$94,2,0)</f>
        <v>МСК</v>
      </c>
    </row>
    <row r="910" spans="1:13" ht="42" thickBot="1" x14ac:dyDescent="0.35">
      <c r="A910" s="1" t="s">
        <v>146</v>
      </c>
      <c r="B910" s="1">
        <v>177</v>
      </c>
      <c r="C910" s="1" t="s">
        <v>5589</v>
      </c>
      <c r="D910" s="2" t="s">
        <v>5590</v>
      </c>
      <c r="E910" s="1" t="s">
        <v>29</v>
      </c>
      <c r="F910" s="1" t="s">
        <v>30</v>
      </c>
      <c r="G910" s="1" t="s">
        <v>31</v>
      </c>
      <c r="H910" s="1" t="s">
        <v>32</v>
      </c>
      <c r="I910" s="1" t="s">
        <v>5591</v>
      </c>
      <c r="J910" s="2" t="s">
        <v>5592</v>
      </c>
      <c r="K910" s="2" t="s">
        <v>5593</v>
      </c>
      <c r="L910" s="2" t="s">
        <v>5594</v>
      </c>
      <c r="M910" s="3" t="str">
        <f>VLOOKUP(G910,справочник!$B$1:$C$94,2,0)</f>
        <v>МСК</v>
      </c>
    </row>
    <row r="911" spans="1:13" ht="97.2" thickBot="1" x14ac:dyDescent="0.35">
      <c r="A911" s="1" t="s">
        <v>33</v>
      </c>
      <c r="B911" s="1">
        <v>3277</v>
      </c>
      <c r="C911" s="1" t="s">
        <v>5595</v>
      </c>
      <c r="D911" s="2" t="s">
        <v>5596</v>
      </c>
      <c r="E911" s="1" t="s">
        <v>29</v>
      </c>
      <c r="F911" s="1" t="s">
        <v>30</v>
      </c>
      <c r="G911" s="1" t="s">
        <v>31</v>
      </c>
      <c r="H911" s="1" t="s">
        <v>32</v>
      </c>
      <c r="I911" s="1" t="s">
        <v>5597</v>
      </c>
      <c r="J911" s="2" t="s">
        <v>5598</v>
      </c>
      <c r="K911" s="2" t="s">
        <v>5599</v>
      </c>
      <c r="L911" s="2" t="s">
        <v>5600</v>
      </c>
      <c r="M911" s="3" t="str">
        <f>VLOOKUP(G911,справочник!$B$1:$C$94,2,0)</f>
        <v>МСК</v>
      </c>
    </row>
    <row r="912" spans="1:13" ht="111" thickBot="1" x14ac:dyDescent="0.35">
      <c r="A912" s="1" t="s">
        <v>12</v>
      </c>
      <c r="B912" s="1">
        <v>935</v>
      </c>
      <c r="C912" s="1" t="s">
        <v>5601</v>
      </c>
      <c r="D912" s="2" t="s">
        <v>5602</v>
      </c>
      <c r="E912" s="1" t="s">
        <v>29</v>
      </c>
      <c r="F912" s="1" t="s">
        <v>30</v>
      </c>
      <c r="G912" s="1" t="s">
        <v>31</v>
      </c>
      <c r="H912" s="1" t="s">
        <v>32</v>
      </c>
      <c r="I912" s="1" t="s">
        <v>5603</v>
      </c>
      <c r="J912" s="2" t="s">
        <v>5604</v>
      </c>
      <c r="K912" s="2" t="s">
        <v>5605</v>
      </c>
      <c r="L912" s="2" t="s">
        <v>5606</v>
      </c>
      <c r="M912" s="3" t="str">
        <f>VLOOKUP(G912,справочник!$B$1:$C$94,2,0)</f>
        <v>МСК</v>
      </c>
    </row>
    <row r="913" spans="1:13" ht="42" thickBot="1" x14ac:dyDescent="0.35">
      <c r="A913" s="1" t="s">
        <v>146</v>
      </c>
      <c r="B913" s="1">
        <v>1876</v>
      </c>
      <c r="C913" s="1" t="s">
        <v>5607</v>
      </c>
      <c r="D913" s="2" t="s">
        <v>5608</v>
      </c>
      <c r="E913" s="1" t="s">
        <v>20</v>
      </c>
      <c r="F913" s="1" t="s">
        <v>30</v>
      </c>
      <c r="G913" s="1" t="s">
        <v>31</v>
      </c>
      <c r="H913" s="1" t="s">
        <v>32</v>
      </c>
      <c r="I913" s="1" t="s">
        <v>5609</v>
      </c>
      <c r="J913" s="2" t="s">
        <v>2481</v>
      </c>
      <c r="K913" s="2" t="s">
        <v>5610</v>
      </c>
      <c r="L913" s="2" t="s">
        <v>5611</v>
      </c>
      <c r="M913" s="3" t="str">
        <f>VLOOKUP(G913,справочник!$B$1:$C$94,2,0)</f>
        <v>МСК</v>
      </c>
    </row>
    <row r="914" spans="1:13" ht="28.2" thickBot="1" x14ac:dyDescent="0.35">
      <c r="A914" s="1" t="s">
        <v>12</v>
      </c>
      <c r="B914" s="1">
        <v>3482</v>
      </c>
      <c r="C914" s="1" t="s">
        <v>5612</v>
      </c>
      <c r="D914" s="2" t="s">
        <v>5613</v>
      </c>
      <c r="E914" s="1" t="s">
        <v>29</v>
      </c>
      <c r="F914" s="1" t="s">
        <v>30</v>
      </c>
      <c r="G914" s="1" t="s">
        <v>31</v>
      </c>
      <c r="H914" s="1" t="s">
        <v>5615</v>
      </c>
      <c r="I914" s="1" t="s">
        <v>5616</v>
      </c>
      <c r="J914" s="2" t="s">
        <v>1029</v>
      </c>
      <c r="K914" s="2" t="s">
        <v>5617</v>
      </c>
      <c r="L914" s="2" t="s">
        <v>5614</v>
      </c>
      <c r="M914" s="3" t="str">
        <f>VLOOKUP(G914,справочник!$B$1:$C$94,2,0)</f>
        <v>МСК</v>
      </c>
    </row>
    <row r="915" spans="1:13" ht="28.2" thickBot="1" x14ac:dyDescent="0.35">
      <c r="A915" s="1" t="s">
        <v>177</v>
      </c>
      <c r="B915" s="1">
        <v>742</v>
      </c>
      <c r="C915" s="1" t="s">
        <v>5618</v>
      </c>
      <c r="D915" s="2" t="s">
        <v>5619</v>
      </c>
      <c r="E915" s="1" t="s">
        <v>29</v>
      </c>
      <c r="F915" s="1" t="s">
        <v>222</v>
      </c>
      <c r="G915" s="1" t="s">
        <v>4536</v>
      </c>
      <c r="H915" s="1" t="s">
        <v>4537</v>
      </c>
      <c r="I915" s="1" t="s">
        <v>5621</v>
      </c>
      <c r="J915" s="2" t="s">
        <v>394</v>
      </c>
      <c r="K915" s="2" t="s">
        <v>5620</v>
      </c>
      <c r="L915" s="2" t="s">
        <v>5622</v>
      </c>
      <c r="M915" s="3" t="str">
        <f>VLOOKUP(G915,справочник!$B$1:$C$94,2,0)</f>
        <v>МСК+1</v>
      </c>
    </row>
    <row r="916" spans="1:13" ht="42" thickBot="1" x14ac:dyDescent="0.35">
      <c r="A916" s="1" t="s">
        <v>146</v>
      </c>
      <c r="B916" s="1">
        <v>189</v>
      </c>
      <c r="C916" s="1" t="s">
        <v>5623</v>
      </c>
      <c r="D916" s="2" t="s">
        <v>5624</v>
      </c>
      <c r="E916" s="1" t="s">
        <v>29</v>
      </c>
      <c r="F916" s="1" t="s">
        <v>222</v>
      </c>
      <c r="G916" s="1" t="s">
        <v>4536</v>
      </c>
      <c r="H916" s="1" t="s">
        <v>4537</v>
      </c>
      <c r="I916" s="1" t="s">
        <v>5626</v>
      </c>
      <c r="J916" s="2" t="s">
        <v>5627</v>
      </c>
      <c r="K916" s="2" t="s">
        <v>5628</v>
      </c>
      <c r="L916" s="2" t="s">
        <v>5625</v>
      </c>
      <c r="M916" s="3" t="str">
        <f>VLOOKUP(G916,справочник!$B$1:$C$94,2,0)</f>
        <v>МСК+1</v>
      </c>
    </row>
    <row r="917" spans="1:13" ht="42" thickBot="1" x14ac:dyDescent="0.35">
      <c r="A917" s="1" t="s">
        <v>12</v>
      </c>
      <c r="B917" s="1">
        <v>3338</v>
      </c>
      <c r="C917" s="1" t="s">
        <v>5629</v>
      </c>
      <c r="D917" s="2" t="s">
        <v>5630</v>
      </c>
      <c r="E917" s="1" t="s">
        <v>29</v>
      </c>
      <c r="F917" s="1" t="s">
        <v>222</v>
      </c>
      <c r="G917" s="1" t="s">
        <v>4536</v>
      </c>
      <c r="H917" s="1" t="s">
        <v>4537</v>
      </c>
      <c r="I917" s="1" t="s">
        <v>5631</v>
      </c>
      <c r="J917" s="2" t="s">
        <v>1906</v>
      </c>
      <c r="K917" s="2" t="s">
        <v>5632</v>
      </c>
      <c r="L917" s="2" t="s">
        <v>5633</v>
      </c>
      <c r="M917" s="3" t="str">
        <f>VLOOKUP(G917,справочник!$B$1:$C$94,2,0)</f>
        <v>МСК+1</v>
      </c>
    </row>
    <row r="918" spans="1:13" ht="42" thickBot="1" x14ac:dyDescent="0.35">
      <c r="A918" s="1" t="s">
        <v>131</v>
      </c>
      <c r="B918" s="1">
        <v>712</v>
      </c>
      <c r="C918" s="1" t="s">
        <v>5634</v>
      </c>
      <c r="D918" s="2" t="s">
        <v>5635</v>
      </c>
      <c r="E918" s="1" t="s">
        <v>29</v>
      </c>
      <c r="F918" s="1" t="s">
        <v>222</v>
      </c>
      <c r="G918" s="1" t="s">
        <v>4536</v>
      </c>
      <c r="H918" s="1" t="s">
        <v>4537</v>
      </c>
      <c r="I918" s="1" t="s">
        <v>5636</v>
      </c>
      <c r="J918" s="2" t="s">
        <v>5637</v>
      </c>
      <c r="K918" s="2" t="s">
        <v>5638</v>
      </c>
      <c r="L918" s="2" t="s">
        <v>5639</v>
      </c>
      <c r="M918" s="3" t="str">
        <f>VLOOKUP(G918,справочник!$B$1:$C$94,2,0)</f>
        <v>МСК+1</v>
      </c>
    </row>
    <row r="919" spans="1:13" ht="42" thickBot="1" x14ac:dyDescent="0.35">
      <c r="A919" s="1" t="s">
        <v>146</v>
      </c>
      <c r="B919" s="1">
        <v>190</v>
      </c>
      <c r="C919" s="1" t="s">
        <v>5640</v>
      </c>
      <c r="D919" s="2" t="s">
        <v>5641</v>
      </c>
      <c r="E919" s="1" t="s">
        <v>29</v>
      </c>
      <c r="F919" s="1" t="s">
        <v>222</v>
      </c>
      <c r="G919" s="1" t="s">
        <v>4536</v>
      </c>
      <c r="H919" s="1" t="s">
        <v>4537</v>
      </c>
      <c r="I919" s="1" t="s">
        <v>5642</v>
      </c>
      <c r="J919" s="2" t="s">
        <v>5643</v>
      </c>
      <c r="K919" s="2" t="s">
        <v>5644</v>
      </c>
      <c r="L919" s="2" t="s">
        <v>5645</v>
      </c>
      <c r="M919" s="3" t="str">
        <f>VLOOKUP(G919,справочник!$B$1:$C$94,2,0)</f>
        <v>МСК+1</v>
      </c>
    </row>
    <row r="920" spans="1:13" ht="42" thickBot="1" x14ac:dyDescent="0.35">
      <c r="A920" s="1" t="s">
        <v>146</v>
      </c>
      <c r="B920" s="1">
        <v>584</v>
      </c>
      <c r="C920" s="1" t="s">
        <v>5646</v>
      </c>
      <c r="D920" s="2" t="s">
        <v>5647</v>
      </c>
      <c r="E920" s="1" t="s">
        <v>29</v>
      </c>
      <c r="F920" s="1" t="s">
        <v>222</v>
      </c>
      <c r="G920" s="1" t="s">
        <v>4536</v>
      </c>
      <c r="H920" s="1" t="s">
        <v>4537</v>
      </c>
      <c r="I920" s="1" t="s">
        <v>5649</v>
      </c>
      <c r="J920" s="2" t="s">
        <v>5650</v>
      </c>
      <c r="K920" s="2" t="s">
        <v>5651</v>
      </c>
      <c r="L920" s="2" t="s">
        <v>5648</v>
      </c>
      <c r="M920" s="3" t="str">
        <f>VLOOKUP(G920,справочник!$B$1:$C$94,2,0)</f>
        <v>МСК+1</v>
      </c>
    </row>
    <row r="921" spans="1:13" ht="42" thickBot="1" x14ac:dyDescent="0.35">
      <c r="A921" s="1" t="s">
        <v>146</v>
      </c>
      <c r="B921" s="1">
        <v>191</v>
      </c>
      <c r="C921" s="1" t="s">
        <v>5652</v>
      </c>
      <c r="D921" s="2" t="s">
        <v>5653</v>
      </c>
      <c r="E921" s="1" t="s">
        <v>29</v>
      </c>
      <c r="F921" s="1" t="s">
        <v>222</v>
      </c>
      <c r="G921" s="1" t="s">
        <v>4536</v>
      </c>
      <c r="H921" s="1" t="s">
        <v>4537</v>
      </c>
      <c r="I921" s="1" t="s">
        <v>5654</v>
      </c>
      <c r="J921" s="2" t="s">
        <v>5655</v>
      </c>
      <c r="K921" s="2" t="s">
        <v>5656</v>
      </c>
      <c r="L921" s="2" t="s">
        <v>5657</v>
      </c>
      <c r="M921" s="3" t="str">
        <f>VLOOKUP(G921,справочник!$B$1:$C$94,2,0)</f>
        <v>МСК+1</v>
      </c>
    </row>
    <row r="922" spans="1:13" ht="42" thickBot="1" x14ac:dyDescent="0.35">
      <c r="A922" s="1" t="s">
        <v>146</v>
      </c>
      <c r="B922" s="1">
        <v>192</v>
      </c>
      <c r="C922" s="1" t="s">
        <v>5658</v>
      </c>
      <c r="D922" s="2" t="s">
        <v>5659</v>
      </c>
      <c r="E922" s="1" t="s">
        <v>29</v>
      </c>
      <c r="F922" s="1" t="s">
        <v>114</v>
      </c>
      <c r="G922" s="1" t="s">
        <v>2166</v>
      </c>
      <c r="H922" s="1" t="s">
        <v>2167</v>
      </c>
      <c r="I922" s="1" t="s">
        <v>5660</v>
      </c>
      <c r="J922" s="2" t="s">
        <v>334</v>
      </c>
      <c r="K922" s="2" t="s">
        <v>5661</v>
      </c>
      <c r="L922" s="2" t="s">
        <v>5662</v>
      </c>
      <c r="M922" s="3" t="str">
        <f>VLOOKUP(G922,справочник!$B$1:$C$94,2,0)</f>
        <v>МСК+8</v>
      </c>
    </row>
    <row r="923" spans="1:13" ht="42" thickBot="1" x14ac:dyDescent="0.35">
      <c r="A923" s="1" t="s">
        <v>146</v>
      </c>
      <c r="B923" s="1">
        <v>343</v>
      </c>
      <c r="C923" s="1" t="s">
        <v>5663</v>
      </c>
      <c r="D923" s="2" t="s">
        <v>5664</v>
      </c>
      <c r="E923" s="1" t="s">
        <v>29</v>
      </c>
      <c r="F923" s="1" t="s">
        <v>21</v>
      </c>
      <c r="G923" s="1" t="s">
        <v>253</v>
      </c>
      <c r="H923" s="1" t="s">
        <v>254</v>
      </c>
      <c r="I923" s="1" t="s">
        <v>5665</v>
      </c>
      <c r="J923" s="2" t="s">
        <v>5666</v>
      </c>
      <c r="K923" s="2" t="s">
        <v>5667</v>
      </c>
      <c r="L923" s="2" t="s">
        <v>5668</v>
      </c>
      <c r="M923" s="3" t="str">
        <f>VLOOKUP(G923,справочник!$B$1:$C$94,2,0)</f>
        <v>МСК</v>
      </c>
    </row>
    <row r="924" spans="1:13" ht="42" thickBot="1" x14ac:dyDescent="0.35">
      <c r="A924" s="1" t="s">
        <v>146</v>
      </c>
      <c r="B924" s="1">
        <v>325</v>
      </c>
      <c r="C924" s="1" t="s">
        <v>5669</v>
      </c>
      <c r="D924" s="2" t="s">
        <v>5670</v>
      </c>
      <c r="E924" s="1" t="s">
        <v>29</v>
      </c>
      <c r="F924" s="1" t="s">
        <v>30</v>
      </c>
      <c r="G924" s="1" t="s">
        <v>2523</v>
      </c>
      <c r="H924" s="1" t="s">
        <v>2524</v>
      </c>
      <c r="I924" s="1" t="s">
        <v>5672</v>
      </c>
      <c r="J924" s="2" t="s">
        <v>5673</v>
      </c>
      <c r="K924" s="2" t="s">
        <v>5671</v>
      </c>
      <c r="L924" s="2" t="s">
        <v>5674</v>
      </c>
      <c r="M924" s="3" t="str">
        <f>VLOOKUP(G924,справочник!$B$1:$C$94,2,0)</f>
        <v>МСК</v>
      </c>
    </row>
    <row r="925" spans="1:13" ht="42" thickBot="1" x14ac:dyDescent="0.35">
      <c r="A925" s="1" t="s">
        <v>131</v>
      </c>
      <c r="B925" s="1">
        <v>549</v>
      </c>
      <c r="C925" s="1" t="s">
        <v>5675</v>
      </c>
      <c r="D925" s="2" t="s">
        <v>5676</v>
      </c>
      <c r="E925" s="1" t="s">
        <v>29</v>
      </c>
      <c r="F925" s="1" t="s">
        <v>30</v>
      </c>
      <c r="G925" s="1" t="s">
        <v>2523</v>
      </c>
      <c r="H925" s="1" t="s">
        <v>2524</v>
      </c>
      <c r="I925" s="1" t="s">
        <v>5677</v>
      </c>
      <c r="J925" s="2" t="s">
        <v>5678</v>
      </c>
      <c r="K925" s="2" t="s">
        <v>5679</v>
      </c>
      <c r="L925" s="2" t="s">
        <v>5680</v>
      </c>
      <c r="M925" s="3" t="str">
        <f>VLOOKUP(G925,справочник!$B$1:$C$94,2,0)</f>
        <v>МСК</v>
      </c>
    </row>
    <row r="926" spans="1:13" ht="42" thickBot="1" x14ac:dyDescent="0.35">
      <c r="A926" s="1" t="s">
        <v>146</v>
      </c>
      <c r="B926" s="1">
        <v>193</v>
      </c>
      <c r="C926" s="1" t="s">
        <v>5681</v>
      </c>
      <c r="D926" s="2" t="s">
        <v>5682</v>
      </c>
      <c r="E926" s="1" t="s">
        <v>29</v>
      </c>
      <c r="F926" s="1" t="s">
        <v>114</v>
      </c>
      <c r="G926" s="1" t="s">
        <v>1778</v>
      </c>
      <c r="H926" s="1" t="s">
        <v>1780</v>
      </c>
      <c r="I926" s="1" t="s">
        <v>5684</v>
      </c>
      <c r="J926" s="2" t="s">
        <v>5685</v>
      </c>
      <c r="K926" s="2" t="s">
        <v>5686</v>
      </c>
      <c r="L926" s="2" t="s">
        <v>5683</v>
      </c>
      <c r="M926" s="3" t="str">
        <f>VLOOKUP(G926,справочник!$B$1:$C$94,2,0)</f>
        <v>МСК+8</v>
      </c>
    </row>
    <row r="927" spans="1:13" ht="42" thickBot="1" x14ac:dyDescent="0.35">
      <c r="A927" s="1" t="s">
        <v>146</v>
      </c>
      <c r="B927" s="1">
        <v>320</v>
      </c>
      <c r="C927" s="1" t="s">
        <v>5687</v>
      </c>
      <c r="D927" s="2" t="s">
        <v>5688</v>
      </c>
      <c r="E927" s="1" t="s">
        <v>29</v>
      </c>
      <c r="F927" s="1" t="s">
        <v>114</v>
      </c>
      <c r="G927" s="1" t="s">
        <v>338</v>
      </c>
      <c r="H927" s="1" t="s">
        <v>339</v>
      </c>
      <c r="I927" s="1" t="s">
        <v>5691</v>
      </c>
      <c r="J927" s="2" t="s">
        <v>5692</v>
      </c>
      <c r="K927" s="2" t="s">
        <v>5689</v>
      </c>
      <c r="L927" s="2" t="s">
        <v>5690</v>
      </c>
      <c r="M927" s="3" t="str">
        <f>VLOOKUP(G927,справочник!$B$1:$C$94,2,0)</f>
        <v>МСК+6</v>
      </c>
    </row>
    <row r="928" spans="1:13" ht="55.8" thickBot="1" x14ac:dyDescent="0.35">
      <c r="A928" s="1" t="s">
        <v>131</v>
      </c>
      <c r="B928" s="1">
        <v>634</v>
      </c>
      <c r="C928" s="1" t="s">
        <v>5693</v>
      </c>
      <c r="D928" s="2" t="s">
        <v>5694</v>
      </c>
      <c r="E928" s="1" t="s">
        <v>29</v>
      </c>
      <c r="F928" s="1" t="s">
        <v>30</v>
      </c>
      <c r="G928" s="1" t="s">
        <v>31</v>
      </c>
      <c r="H928" s="1" t="s">
        <v>32</v>
      </c>
      <c r="I928" s="1" t="s">
        <v>5695</v>
      </c>
      <c r="J928" s="2" t="s">
        <v>5696</v>
      </c>
      <c r="K928" s="2" t="s">
        <v>5697</v>
      </c>
      <c r="L928" s="2" t="s">
        <v>5698</v>
      </c>
      <c r="M928" s="3" t="str">
        <f>VLOOKUP(G928,справочник!$B$1:$C$94,2,0)</f>
        <v>МСК</v>
      </c>
    </row>
    <row r="929" spans="1:13" ht="42" thickBot="1" x14ac:dyDescent="0.35">
      <c r="A929" s="1" t="s">
        <v>12</v>
      </c>
      <c r="B929" s="1">
        <v>3137</v>
      </c>
      <c r="C929" s="1" t="s">
        <v>5699</v>
      </c>
      <c r="D929" s="2" t="s">
        <v>5700</v>
      </c>
      <c r="E929" s="1" t="s">
        <v>29</v>
      </c>
      <c r="F929" s="1" t="s">
        <v>30</v>
      </c>
      <c r="G929" s="1" t="s">
        <v>31</v>
      </c>
      <c r="H929" s="1" t="s">
        <v>32</v>
      </c>
      <c r="I929" s="1" t="s">
        <v>5702</v>
      </c>
      <c r="J929" s="2" t="s">
        <v>2657</v>
      </c>
      <c r="K929" s="2" t="s">
        <v>5703</v>
      </c>
      <c r="L929" s="2" t="s">
        <v>5701</v>
      </c>
      <c r="M929" s="3" t="str">
        <f>VLOOKUP(G929,справочник!$B$1:$C$94,2,0)</f>
        <v>МСК</v>
      </c>
    </row>
    <row r="930" spans="1:13" ht="42" thickBot="1" x14ac:dyDescent="0.35">
      <c r="A930" s="1" t="s">
        <v>146</v>
      </c>
      <c r="B930" s="1">
        <v>72</v>
      </c>
      <c r="C930" s="1" t="s">
        <v>5704</v>
      </c>
      <c r="D930" s="2" t="s">
        <v>5705</v>
      </c>
      <c r="E930" s="1" t="s">
        <v>29</v>
      </c>
      <c r="F930" s="1" t="s">
        <v>109</v>
      </c>
      <c r="G930" s="1" t="s">
        <v>2981</v>
      </c>
      <c r="H930" s="1" t="s">
        <v>5706</v>
      </c>
      <c r="I930" s="1" t="s">
        <v>5707</v>
      </c>
      <c r="J930" s="2" t="s">
        <v>5708</v>
      </c>
      <c r="K930" s="2" t="s">
        <v>5709</v>
      </c>
      <c r="L930" s="2" t="s">
        <v>5710</v>
      </c>
      <c r="M930" s="3" t="str">
        <f>VLOOKUP(G930,справочник!$B$1:$C$94,2,0)</f>
        <v>МСК</v>
      </c>
    </row>
    <row r="931" spans="1:13" ht="55.8" thickBot="1" x14ac:dyDescent="0.35">
      <c r="A931" s="1" t="s">
        <v>146</v>
      </c>
      <c r="B931" s="1">
        <v>363</v>
      </c>
      <c r="C931" s="1" t="s">
        <v>5711</v>
      </c>
      <c r="D931" s="2" t="s">
        <v>5712</v>
      </c>
      <c r="E931" s="1" t="s">
        <v>29</v>
      </c>
      <c r="F931" s="1" t="s">
        <v>109</v>
      </c>
      <c r="G931" s="1" t="s">
        <v>646</v>
      </c>
      <c r="H931" s="1" t="s">
        <v>647</v>
      </c>
      <c r="I931" s="1" t="s">
        <v>5713</v>
      </c>
      <c r="J931" s="2" t="s">
        <v>3358</v>
      </c>
      <c r="K931" s="2" t="s">
        <v>5714</v>
      </c>
      <c r="L931" s="2" t="s">
        <v>5715</v>
      </c>
      <c r="M931" s="3" t="str">
        <f>VLOOKUP(G931,справочник!$B$1:$C$94,2,0)</f>
        <v>МСК</v>
      </c>
    </row>
    <row r="932" spans="1:13" ht="42" thickBot="1" x14ac:dyDescent="0.35">
      <c r="A932" s="1" t="s">
        <v>177</v>
      </c>
      <c r="B932" s="1">
        <v>1376</v>
      </c>
      <c r="C932" s="1" t="s">
        <v>5716</v>
      </c>
      <c r="D932" s="2" t="s">
        <v>5717</v>
      </c>
      <c r="E932" s="1" t="s">
        <v>29</v>
      </c>
      <c r="F932" s="1" t="s">
        <v>109</v>
      </c>
      <c r="G932" s="1" t="s">
        <v>1052</v>
      </c>
      <c r="H932" s="1" t="s">
        <v>1054</v>
      </c>
      <c r="I932" s="1" t="s">
        <v>5718</v>
      </c>
      <c r="J932" s="2" t="s">
        <v>5719</v>
      </c>
      <c r="K932" s="2" t="s">
        <v>5720</v>
      </c>
      <c r="L932" s="2" t="s">
        <v>5721</v>
      </c>
      <c r="M932" s="3" t="str">
        <f>VLOOKUP(G932,справочник!$B$1:$C$94,2,0)</f>
        <v>МСК</v>
      </c>
    </row>
    <row r="933" spans="1:13" ht="42" thickBot="1" x14ac:dyDescent="0.35">
      <c r="A933" s="1" t="s">
        <v>12</v>
      </c>
      <c r="B933" s="1">
        <v>1431</v>
      </c>
      <c r="C933" s="1" t="s">
        <v>5722</v>
      </c>
      <c r="D933" s="2" t="s">
        <v>5723</v>
      </c>
      <c r="E933" s="1" t="s">
        <v>29</v>
      </c>
      <c r="F933" s="1" t="s">
        <v>109</v>
      </c>
      <c r="G933" s="1" t="s">
        <v>110</v>
      </c>
      <c r="H933" s="1" t="s">
        <v>111</v>
      </c>
      <c r="I933" s="1" t="s">
        <v>5725</v>
      </c>
      <c r="J933" s="2" t="s">
        <v>5726</v>
      </c>
      <c r="K933" s="2" t="s">
        <v>5727</v>
      </c>
      <c r="L933" s="2" t="s">
        <v>5724</v>
      </c>
      <c r="M933" s="3" t="str">
        <f>VLOOKUP(G933,справочник!$B$1:$C$94,2,0)</f>
        <v>МСК</v>
      </c>
    </row>
    <row r="934" spans="1:13" ht="28.2" thickBot="1" x14ac:dyDescent="0.35">
      <c r="A934" s="1" t="s">
        <v>12</v>
      </c>
      <c r="B934" s="1">
        <v>7759</v>
      </c>
      <c r="C934" s="1" t="s">
        <v>5728</v>
      </c>
      <c r="D934" s="2" t="s">
        <v>5729</v>
      </c>
      <c r="E934" s="1" t="s">
        <v>29</v>
      </c>
      <c r="F934" s="1" t="s">
        <v>109</v>
      </c>
      <c r="G934" s="1" t="s">
        <v>1352</v>
      </c>
      <c r="H934" s="1"/>
      <c r="I934" s="1"/>
      <c r="J934" s="2" t="s">
        <v>3830</v>
      </c>
      <c r="K934" s="2" t="s">
        <v>5731</v>
      </c>
      <c r="L934" s="2" t="s">
        <v>5730</v>
      </c>
      <c r="M934" s="3" t="str">
        <f>VLOOKUP(G934,справочник!$B$1:$C$94,2,0)</f>
        <v>МСК</v>
      </c>
    </row>
    <row r="935" spans="1:13" ht="28.2" thickBot="1" x14ac:dyDescent="0.35">
      <c r="A935" s="1" t="s">
        <v>1237</v>
      </c>
      <c r="B935" s="1">
        <v>3643</v>
      </c>
      <c r="C935" s="1" t="s">
        <v>5732</v>
      </c>
      <c r="D935" s="2" t="s">
        <v>5733</v>
      </c>
      <c r="E935" s="1" t="s">
        <v>20</v>
      </c>
      <c r="F935" s="1" t="s">
        <v>109</v>
      </c>
      <c r="G935" s="1" t="s">
        <v>110</v>
      </c>
      <c r="H935" s="1" t="s">
        <v>1616</v>
      </c>
      <c r="I935" s="1" t="s">
        <v>5735</v>
      </c>
      <c r="J935" s="2" t="s">
        <v>5736</v>
      </c>
      <c r="K935" s="2" t="s">
        <v>5737</v>
      </c>
      <c r="L935" s="2" t="s">
        <v>5734</v>
      </c>
      <c r="M935" s="3" t="str">
        <f>VLOOKUP(G935,справочник!$B$1:$C$94,2,0)</f>
        <v>МСК</v>
      </c>
    </row>
    <row r="936" spans="1:13" ht="42" thickBot="1" x14ac:dyDescent="0.35">
      <c r="A936" s="1" t="s">
        <v>146</v>
      </c>
      <c r="B936" s="1">
        <v>2344</v>
      </c>
      <c r="C936" s="1" t="s">
        <v>5738</v>
      </c>
      <c r="D936" s="2" t="s">
        <v>5739</v>
      </c>
      <c r="E936" s="1" t="s">
        <v>20</v>
      </c>
      <c r="F936" s="1" t="s">
        <v>109</v>
      </c>
      <c r="G936" s="1" t="s">
        <v>110</v>
      </c>
      <c r="H936" s="1" t="s">
        <v>5740</v>
      </c>
      <c r="I936" s="1" t="s">
        <v>5741</v>
      </c>
      <c r="J936" s="2" t="s">
        <v>5742</v>
      </c>
      <c r="K936" s="2" t="s">
        <v>5743</v>
      </c>
      <c r="L936" s="2" t="s">
        <v>5744</v>
      </c>
      <c r="M936" s="3" t="str">
        <f>VLOOKUP(G936,справочник!$B$1:$C$94,2,0)</f>
        <v>МСК</v>
      </c>
    </row>
    <row r="937" spans="1:13" ht="42" thickBot="1" x14ac:dyDescent="0.35">
      <c r="A937" s="1" t="s">
        <v>146</v>
      </c>
      <c r="B937" s="1">
        <v>2156</v>
      </c>
      <c r="C937" s="1" t="s">
        <v>5745</v>
      </c>
      <c r="D937" s="2" t="s">
        <v>5746</v>
      </c>
      <c r="E937" s="1" t="s">
        <v>20</v>
      </c>
      <c r="F937" s="1" t="s">
        <v>21</v>
      </c>
      <c r="G937" s="1" t="s">
        <v>199</v>
      </c>
      <c r="H937" s="1" t="s">
        <v>200</v>
      </c>
      <c r="I937" s="1" t="s">
        <v>5748</v>
      </c>
      <c r="J937" s="2" t="s">
        <v>5749</v>
      </c>
      <c r="K937" s="2" t="s">
        <v>5750</v>
      </c>
      <c r="L937" s="2" t="s">
        <v>5747</v>
      </c>
      <c r="M937" s="3" t="str">
        <f>VLOOKUP(G937,справочник!$B$1:$C$94,2,0)</f>
        <v>МСК</v>
      </c>
    </row>
    <row r="938" spans="1:13" ht="42" thickBot="1" x14ac:dyDescent="0.35">
      <c r="A938" s="1" t="s">
        <v>146</v>
      </c>
      <c r="B938" s="1">
        <v>194</v>
      </c>
      <c r="C938" s="1" t="s">
        <v>5751</v>
      </c>
      <c r="D938" s="2" t="s">
        <v>5752</v>
      </c>
      <c r="E938" s="1" t="s">
        <v>29</v>
      </c>
      <c r="F938" s="1" t="s">
        <v>109</v>
      </c>
      <c r="G938" s="1" t="s">
        <v>110</v>
      </c>
      <c r="H938" s="1" t="s">
        <v>111</v>
      </c>
      <c r="I938" s="1" t="s">
        <v>5753</v>
      </c>
      <c r="J938" s="2" t="s">
        <v>5754</v>
      </c>
      <c r="K938" s="2" t="s">
        <v>5755</v>
      </c>
      <c r="L938" s="2" t="s">
        <v>5756</v>
      </c>
      <c r="M938" s="3" t="str">
        <f>VLOOKUP(G938,справочник!$B$1:$C$94,2,0)</f>
        <v>МСК</v>
      </c>
    </row>
    <row r="939" spans="1:13" ht="42" thickBot="1" x14ac:dyDescent="0.35">
      <c r="A939" s="1" t="s">
        <v>131</v>
      </c>
      <c r="B939" s="1">
        <v>652</v>
      </c>
      <c r="C939" s="1" t="s">
        <v>5757</v>
      </c>
      <c r="D939" s="2" t="s">
        <v>5758</v>
      </c>
      <c r="E939" s="1" t="s">
        <v>29</v>
      </c>
      <c r="F939" s="1" t="s">
        <v>109</v>
      </c>
      <c r="G939" s="1" t="s">
        <v>646</v>
      </c>
      <c r="H939" s="1" t="s">
        <v>647</v>
      </c>
      <c r="I939" s="1" t="s">
        <v>5759</v>
      </c>
      <c r="J939" s="2" t="s">
        <v>867</v>
      </c>
      <c r="K939" s="2" t="s">
        <v>5760</v>
      </c>
      <c r="L939" s="2" t="s">
        <v>5761</v>
      </c>
      <c r="M939" s="3" t="str">
        <f>VLOOKUP(G939,справочник!$B$1:$C$94,2,0)</f>
        <v>МСК</v>
      </c>
    </row>
    <row r="940" spans="1:13" ht="42" thickBot="1" x14ac:dyDescent="0.35">
      <c r="A940" s="1" t="s">
        <v>146</v>
      </c>
      <c r="B940" s="1">
        <v>360</v>
      </c>
      <c r="C940" s="1" t="s">
        <v>5762</v>
      </c>
      <c r="D940" s="2" t="s">
        <v>5763</v>
      </c>
      <c r="E940" s="1" t="s">
        <v>29</v>
      </c>
      <c r="F940" s="1" t="s">
        <v>109</v>
      </c>
      <c r="G940" s="1" t="s">
        <v>646</v>
      </c>
      <c r="H940" s="1" t="s">
        <v>647</v>
      </c>
      <c r="I940" s="1" t="s">
        <v>5764</v>
      </c>
      <c r="J940" s="2" t="s">
        <v>5765</v>
      </c>
      <c r="K940" s="2" t="s">
        <v>5766</v>
      </c>
      <c r="L940" s="2" t="s">
        <v>5767</v>
      </c>
      <c r="M940" s="3" t="str">
        <f>VLOOKUP(G940,справочник!$B$1:$C$94,2,0)</f>
        <v>МСК</v>
      </c>
    </row>
    <row r="941" spans="1:13" ht="42" thickBot="1" x14ac:dyDescent="0.35">
      <c r="A941" s="1" t="s">
        <v>146</v>
      </c>
      <c r="B941" s="1">
        <v>195</v>
      </c>
      <c r="C941" s="1" t="s">
        <v>5768</v>
      </c>
      <c r="D941" s="2" t="s">
        <v>5769</v>
      </c>
      <c r="E941" s="1" t="s">
        <v>29</v>
      </c>
      <c r="F941" s="1" t="s">
        <v>36</v>
      </c>
      <c r="G941" s="1" t="s">
        <v>4556</v>
      </c>
      <c r="H941" s="1" t="s">
        <v>4557</v>
      </c>
      <c r="I941" s="1" t="s">
        <v>5771</v>
      </c>
      <c r="J941" s="2" t="s">
        <v>5772</v>
      </c>
      <c r="K941" s="2" t="s">
        <v>5773</v>
      </c>
      <c r="L941" s="2" t="s">
        <v>5770</v>
      </c>
      <c r="M941" s="3" t="str">
        <f>VLOOKUP(G941,справочник!$B$1:$C$94,2,0)</f>
        <v>МСК+3</v>
      </c>
    </row>
    <row r="942" spans="1:13" ht="42" thickBot="1" x14ac:dyDescent="0.35">
      <c r="A942" s="1" t="s">
        <v>146</v>
      </c>
      <c r="B942" s="1">
        <v>198</v>
      </c>
      <c r="C942" s="1" t="s">
        <v>5774</v>
      </c>
      <c r="D942" s="2" t="s">
        <v>5775</v>
      </c>
      <c r="E942" s="1" t="s">
        <v>29</v>
      </c>
      <c r="F942" s="1" t="s">
        <v>36</v>
      </c>
      <c r="G942" s="1" t="s">
        <v>2996</v>
      </c>
      <c r="H942" s="1" t="s">
        <v>3180</v>
      </c>
      <c r="I942" s="1" t="s">
        <v>5776</v>
      </c>
      <c r="J942" s="2" t="s">
        <v>5777</v>
      </c>
      <c r="K942" s="2" t="s">
        <v>5778</v>
      </c>
      <c r="L942" s="2" t="s">
        <v>5779</v>
      </c>
      <c r="M942" s="3" t="str">
        <f>VLOOKUP(G942,справочник!$B$1:$C$94,2,0)</f>
        <v>МСК+4</v>
      </c>
    </row>
    <row r="943" spans="1:13" ht="28.2" thickBot="1" x14ac:dyDescent="0.35">
      <c r="A943" s="1" t="s">
        <v>177</v>
      </c>
      <c r="B943" s="1">
        <v>733</v>
      </c>
      <c r="C943" s="1" t="s">
        <v>5780</v>
      </c>
      <c r="D943" s="2" t="s">
        <v>5781</v>
      </c>
      <c r="E943" s="1" t="s">
        <v>29</v>
      </c>
      <c r="F943" s="1" t="s">
        <v>36</v>
      </c>
      <c r="G943" s="1" t="s">
        <v>37</v>
      </c>
      <c r="H943" s="1" t="s">
        <v>3096</v>
      </c>
      <c r="I943" s="1" t="s">
        <v>5784</v>
      </c>
      <c r="J943" s="2" t="s">
        <v>5785</v>
      </c>
      <c r="K943" s="2" t="s">
        <v>5782</v>
      </c>
      <c r="L943" s="2" t="s">
        <v>5783</v>
      </c>
      <c r="M943" s="3" t="str">
        <f>VLOOKUP(G943,справочник!$B$1:$C$94,2,0)</f>
        <v>МСК+4</v>
      </c>
    </row>
    <row r="944" spans="1:13" ht="42" thickBot="1" x14ac:dyDescent="0.35">
      <c r="A944" s="1" t="s">
        <v>131</v>
      </c>
      <c r="B944" s="1">
        <v>705</v>
      </c>
      <c r="C944" s="1" t="s">
        <v>5786</v>
      </c>
      <c r="D944" s="2" t="s">
        <v>5787</v>
      </c>
      <c r="E944" s="1" t="s">
        <v>29</v>
      </c>
      <c r="F944" s="1" t="s">
        <v>36</v>
      </c>
      <c r="G944" s="1" t="s">
        <v>2158</v>
      </c>
      <c r="H944" s="1" t="s">
        <v>2159</v>
      </c>
      <c r="I944" s="1" t="s">
        <v>5788</v>
      </c>
      <c r="J944" s="2" t="s">
        <v>5789</v>
      </c>
      <c r="K944" s="2" t="s">
        <v>5790</v>
      </c>
      <c r="L944" s="2" t="s">
        <v>5791</v>
      </c>
      <c r="M944" s="3" t="str">
        <f>VLOOKUP(G944,справочник!$B$1:$C$94,2,0)</f>
        <v>МСК+4</v>
      </c>
    </row>
    <row r="945" spans="1:13" ht="42" thickBot="1" x14ac:dyDescent="0.35">
      <c r="A945" s="1" t="s">
        <v>724</v>
      </c>
      <c r="B945" s="1">
        <v>953</v>
      </c>
      <c r="C945" s="1" t="s">
        <v>5792</v>
      </c>
      <c r="D945" s="2" t="s">
        <v>5793</v>
      </c>
      <c r="E945" s="1" t="s">
        <v>29</v>
      </c>
      <c r="F945" s="1" t="s">
        <v>36</v>
      </c>
      <c r="G945" s="1" t="s">
        <v>1181</v>
      </c>
      <c r="H945" s="1" t="s">
        <v>1710</v>
      </c>
      <c r="I945" s="1" t="s">
        <v>5795</v>
      </c>
      <c r="J945" s="2" t="s">
        <v>5796</v>
      </c>
      <c r="K945" s="2" t="s">
        <v>5797</v>
      </c>
      <c r="L945" s="2" t="s">
        <v>5794</v>
      </c>
      <c r="M945" s="3" t="str">
        <f>VLOOKUP(G945,справочник!$B$1:$C$94,2,0)</f>
        <v>МСК+4</v>
      </c>
    </row>
    <row r="946" spans="1:13" ht="42" thickBot="1" x14ac:dyDescent="0.35">
      <c r="A946" s="1" t="s">
        <v>146</v>
      </c>
      <c r="B946" s="1">
        <v>196</v>
      </c>
      <c r="C946" s="1" t="s">
        <v>5798</v>
      </c>
      <c r="D946" s="2" t="s">
        <v>5799</v>
      </c>
      <c r="E946" s="1" t="s">
        <v>29</v>
      </c>
      <c r="F946" s="1" t="s">
        <v>36</v>
      </c>
      <c r="G946" s="1" t="s">
        <v>1181</v>
      </c>
      <c r="H946" s="1" t="s">
        <v>1710</v>
      </c>
      <c r="I946" s="1" t="s">
        <v>5801</v>
      </c>
      <c r="J946" s="2" t="s">
        <v>5802</v>
      </c>
      <c r="K946" s="2" t="s">
        <v>5803</v>
      </c>
      <c r="L946" s="2" t="s">
        <v>5800</v>
      </c>
      <c r="M946" s="3" t="str">
        <f>VLOOKUP(G946,справочник!$B$1:$C$94,2,0)</f>
        <v>МСК+4</v>
      </c>
    </row>
    <row r="947" spans="1:13" ht="42" thickBot="1" x14ac:dyDescent="0.35">
      <c r="A947" s="1" t="s">
        <v>146</v>
      </c>
      <c r="B947" s="1">
        <v>1359</v>
      </c>
      <c r="C947" s="1" t="s">
        <v>5804</v>
      </c>
      <c r="D947" s="2" t="s">
        <v>5805</v>
      </c>
      <c r="E947" s="1" t="s">
        <v>29</v>
      </c>
      <c r="F947" s="1" t="s">
        <v>36</v>
      </c>
      <c r="G947" s="1" t="s">
        <v>1181</v>
      </c>
      <c r="H947" s="1" t="s">
        <v>1710</v>
      </c>
      <c r="I947" s="1" t="s">
        <v>5807</v>
      </c>
      <c r="J947" s="2" t="s">
        <v>5808</v>
      </c>
      <c r="K947" s="2" t="s">
        <v>5809</v>
      </c>
      <c r="L947" s="2" t="s">
        <v>5806</v>
      </c>
      <c r="M947" s="3" t="str">
        <f>VLOOKUP(G947,справочник!$B$1:$C$94,2,0)</f>
        <v>МСК+4</v>
      </c>
    </row>
    <row r="948" spans="1:13" ht="42" thickBot="1" x14ac:dyDescent="0.35">
      <c r="A948" s="1" t="s">
        <v>146</v>
      </c>
      <c r="B948" s="1">
        <v>197</v>
      </c>
      <c r="C948" s="1" t="s">
        <v>5810</v>
      </c>
      <c r="D948" s="2" t="s">
        <v>5811</v>
      </c>
      <c r="E948" s="1" t="s">
        <v>29</v>
      </c>
      <c r="F948" s="1" t="s">
        <v>36</v>
      </c>
      <c r="G948" s="1" t="s">
        <v>37</v>
      </c>
      <c r="H948" s="1" t="s">
        <v>3096</v>
      </c>
      <c r="I948" s="1" t="s">
        <v>5812</v>
      </c>
      <c r="J948" s="2" t="s">
        <v>867</v>
      </c>
      <c r="K948" s="2" t="s">
        <v>5813</v>
      </c>
      <c r="L948" s="2" t="s">
        <v>5814</v>
      </c>
      <c r="M948" s="3" t="str">
        <f>VLOOKUP(G948,справочник!$B$1:$C$94,2,0)</f>
        <v>МСК+4</v>
      </c>
    </row>
    <row r="949" spans="1:13" ht="42" thickBot="1" x14ac:dyDescent="0.35">
      <c r="A949" s="1" t="s">
        <v>1443</v>
      </c>
      <c r="B949" s="1">
        <v>693</v>
      </c>
      <c r="C949" s="1" t="s">
        <v>5815</v>
      </c>
      <c r="D949" s="2" t="s">
        <v>5816</v>
      </c>
      <c r="E949" s="1" t="s">
        <v>29</v>
      </c>
      <c r="F949" s="1" t="s">
        <v>36</v>
      </c>
      <c r="G949" s="1" t="s">
        <v>1181</v>
      </c>
      <c r="H949" s="1" t="s">
        <v>1710</v>
      </c>
      <c r="I949" s="1" t="s">
        <v>5818</v>
      </c>
      <c r="J949" s="2" t="s">
        <v>5819</v>
      </c>
      <c r="K949" s="2" t="s">
        <v>5820</v>
      </c>
      <c r="L949" s="2" t="s">
        <v>5817</v>
      </c>
      <c r="M949" s="3" t="str">
        <f>VLOOKUP(G949,справочник!$B$1:$C$94,2,0)</f>
        <v>МСК+4</v>
      </c>
    </row>
    <row r="950" spans="1:13" ht="42" thickBot="1" x14ac:dyDescent="0.35">
      <c r="A950" s="1" t="s">
        <v>3809</v>
      </c>
      <c r="B950" s="1">
        <v>665</v>
      </c>
      <c r="C950" s="1" t="s">
        <v>5821</v>
      </c>
      <c r="D950" s="2" t="s">
        <v>5822</v>
      </c>
      <c r="E950" s="1" t="s">
        <v>29</v>
      </c>
      <c r="F950" s="1" t="s">
        <v>36</v>
      </c>
      <c r="G950" s="1" t="s">
        <v>1181</v>
      </c>
      <c r="H950" s="1" t="s">
        <v>1710</v>
      </c>
      <c r="I950" s="1" t="s">
        <v>5823</v>
      </c>
      <c r="J950" s="2" t="s">
        <v>5824</v>
      </c>
      <c r="K950" s="2" t="s">
        <v>5825</v>
      </c>
      <c r="L950" s="2" t="s">
        <v>5826</v>
      </c>
      <c r="M950" s="3" t="str">
        <f>VLOOKUP(G950,справочник!$B$1:$C$94,2,0)</f>
        <v>МСК+4</v>
      </c>
    </row>
    <row r="951" spans="1:13" ht="28.2" thickBot="1" x14ac:dyDescent="0.35">
      <c r="A951" s="1" t="s">
        <v>621</v>
      </c>
      <c r="B951" s="1">
        <v>638</v>
      </c>
      <c r="C951" s="1" t="s">
        <v>5827</v>
      </c>
      <c r="D951" s="2" t="s">
        <v>5828</v>
      </c>
      <c r="E951" s="1" t="s">
        <v>29</v>
      </c>
      <c r="F951" s="1" t="s">
        <v>36</v>
      </c>
      <c r="G951" s="1" t="s">
        <v>4556</v>
      </c>
      <c r="H951" s="1" t="s">
        <v>4557</v>
      </c>
      <c r="I951" s="1" t="s">
        <v>5829</v>
      </c>
      <c r="J951" s="2" t="s">
        <v>5830</v>
      </c>
      <c r="K951" s="2" t="s">
        <v>5831</v>
      </c>
      <c r="L951" s="2" t="s">
        <v>5832</v>
      </c>
      <c r="M951" s="3" t="str">
        <f>VLOOKUP(G951,справочник!$B$1:$C$94,2,0)</f>
        <v>МСК+3</v>
      </c>
    </row>
    <row r="952" spans="1:13" ht="28.2" thickBot="1" x14ac:dyDescent="0.35">
      <c r="A952" s="1" t="s">
        <v>12</v>
      </c>
      <c r="B952" s="1">
        <v>2876</v>
      </c>
      <c r="C952" s="1" t="s">
        <v>5833</v>
      </c>
      <c r="D952" s="2" t="s">
        <v>5834</v>
      </c>
      <c r="E952" s="1" t="s">
        <v>29</v>
      </c>
      <c r="F952" s="1" t="s">
        <v>36</v>
      </c>
      <c r="G952" s="1" t="s">
        <v>4556</v>
      </c>
      <c r="H952" s="1" t="s">
        <v>4557</v>
      </c>
      <c r="I952" s="1" t="s">
        <v>5835</v>
      </c>
      <c r="J952" s="2" t="s">
        <v>5836</v>
      </c>
      <c r="K952" s="2" t="s">
        <v>5837</v>
      </c>
      <c r="L952" s="2" t="s">
        <v>5838</v>
      </c>
      <c r="M952" s="3" t="str">
        <f>VLOOKUP(G952,справочник!$B$1:$C$94,2,0)</f>
        <v>МСК+3</v>
      </c>
    </row>
    <row r="953" spans="1:13" ht="28.2" thickBot="1" x14ac:dyDescent="0.35">
      <c r="A953" s="1" t="s">
        <v>12</v>
      </c>
      <c r="B953" s="1">
        <v>3256</v>
      </c>
      <c r="C953" s="1" t="s">
        <v>5839</v>
      </c>
      <c r="D953" s="2" t="s">
        <v>5840</v>
      </c>
      <c r="E953" s="1" t="s">
        <v>29</v>
      </c>
      <c r="F953" s="1" t="s">
        <v>36</v>
      </c>
      <c r="G953" s="1" t="s">
        <v>37</v>
      </c>
      <c r="H953" s="1" t="s">
        <v>3096</v>
      </c>
      <c r="I953" s="1" t="s">
        <v>5842</v>
      </c>
      <c r="J953" s="2" t="s">
        <v>5843</v>
      </c>
      <c r="K953" s="2" t="s">
        <v>5844</v>
      </c>
      <c r="L953" s="2" t="s">
        <v>5841</v>
      </c>
      <c r="M953" s="3" t="str">
        <f>VLOOKUP(G953,справочник!$B$1:$C$94,2,0)</f>
        <v>МСК+4</v>
      </c>
    </row>
    <row r="954" spans="1:13" ht="42" thickBot="1" x14ac:dyDescent="0.35">
      <c r="A954" s="1" t="s">
        <v>146</v>
      </c>
      <c r="B954" s="1">
        <v>2046</v>
      </c>
      <c r="C954" s="1" t="s">
        <v>5845</v>
      </c>
      <c r="D954" s="2" t="s">
        <v>5846</v>
      </c>
      <c r="E954" s="1" t="s">
        <v>20</v>
      </c>
      <c r="F954" s="1" t="s">
        <v>36</v>
      </c>
      <c r="G954" s="1" t="s">
        <v>330</v>
      </c>
      <c r="H954" s="1" t="s">
        <v>411</v>
      </c>
      <c r="I954" s="1" t="s">
        <v>5848</v>
      </c>
      <c r="J954" s="2" t="s">
        <v>2965</v>
      </c>
      <c r="K954" s="2" t="s">
        <v>5849</v>
      </c>
      <c r="L954" s="2" t="s">
        <v>5847</v>
      </c>
      <c r="M954" s="3" t="str">
        <f>VLOOKUP(G954,справочник!$B$1:$C$94,2,0)</f>
        <v>МСК+5</v>
      </c>
    </row>
    <row r="955" spans="1:13" ht="42" thickBot="1" x14ac:dyDescent="0.35">
      <c r="A955" s="1" t="s">
        <v>12</v>
      </c>
      <c r="B955" s="1">
        <v>917</v>
      </c>
      <c r="C955" s="1" t="s">
        <v>5850</v>
      </c>
      <c r="D955" s="2" t="s">
        <v>5851</v>
      </c>
      <c r="E955" s="1" t="s">
        <v>29</v>
      </c>
      <c r="F955" s="1" t="s">
        <v>36</v>
      </c>
      <c r="G955" s="1" t="s">
        <v>1181</v>
      </c>
      <c r="H955" s="1" t="s">
        <v>1710</v>
      </c>
      <c r="I955" s="1" t="s">
        <v>5852</v>
      </c>
      <c r="J955" s="2" t="s">
        <v>381</v>
      </c>
      <c r="K955" s="2" t="s">
        <v>5853</v>
      </c>
      <c r="L955" s="2" t="s">
        <v>5854</v>
      </c>
      <c r="M955" s="3" t="str">
        <f>VLOOKUP(G955,справочник!$B$1:$C$94,2,0)</f>
        <v>МСК+4</v>
      </c>
    </row>
    <row r="956" spans="1:13" ht="42" thickBot="1" x14ac:dyDescent="0.35">
      <c r="A956" s="1" t="s">
        <v>146</v>
      </c>
      <c r="B956" s="1">
        <v>1894</v>
      </c>
      <c r="C956" s="1" t="s">
        <v>5855</v>
      </c>
      <c r="D956" s="2" t="s">
        <v>5856</v>
      </c>
      <c r="E956" s="1" t="s">
        <v>20</v>
      </c>
      <c r="F956" s="1" t="s">
        <v>36</v>
      </c>
      <c r="G956" s="1" t="s">
        <v>1181</v>
      </c>
      <c r="H956" s="1" t="s">
        <v>5858</v>
      </c>
      <c r="I956" s="1" t="s">
        <v>5859</v>
      </c>
      <c r="J956" s="2" t="s">
        <v>5860</v>
      </c>
      <c r="K956" s="2" t="s">
        <v>5861</v>
      </c>
      <c r="L956" s="2" t="s">
        <v>5857</v>
      </c>
      <c r="M956" s="3" t="str">
        <f>VLOOKUP(G956,справочник!$B$1:$C$94,2,0)</f>
        <v>МСК+4</v>
      </c>
    </row>
    <row r="957" spans="1:13" ht="42" thickBot="1" x14ac:dyDescent="0.35">
      <c r="A957" s="1" t="s">
        <v>146</v>
      </c>
      <c r="B957" s="1">
        <v>313</v>
      </c>
      <c r="C957" s="1" t="s">
        <v>5862</v>
      </c>
      <c r="D957" s="2" t="s">
        <v>5863</v>
      </c>
      <c r="E957" s="1" t="s">
        <v>29</v>
      </c>
      <c r="F957" s="1" t="s">
        <v>36</v>
      </c>
      <c r="G957" s="1" t="s">
        <v>37</v>
      </c>
      <c r="H957" s="1" t="s">
        <v>3096</v>
      </c>
      <c r="I957" s="1" t="s">
        <v>5864</v>
      </c>
      <c r="J957" s="2" t="s">
        <v>5865</v>
      </c>
      <c r="K957" s="2" t="s">
        <v>5866</v>
      </c>
      <c r="L957" s="2" t="s">
        <v>5867</v>
      </c>
      <c r="M957" s="3" t="str">
        <f>VLOOKUP(G957,справочник!$B$1:$C$94,2,0)</f>
        <v>МСК+4</v>
      </c>
    </row>
    <row r="958" spans="1:13" ht="28.2" thickBot="1" x14ac:dyDescent="0.35">
      <c r="A958" s="1" t="s">
        <v>12</v>
      </c>
      <c r="B958" s="1">
        <v>1401</v>
      </c>
      <c r="C958" s="1" t="s">
        <v>5868</v>
      </c>
      <c r="D958" s="2" t="s">
        <v>5869</v>
      </c>
      <c r="E958" s="1" t="s">
        <v>29</v>
      </c>
      <c r="F958" s="1" t="s">
        <v>36</v>
      </c>
      <c r="G958" s="1" t="s">
        <v>4556</v>
      </c>
      <c r="H958" s="1" t="s">
        <v>4557</v>
      </c>
      <c r="I958" s="1" t="s">
        <v>5871</v>
      </c>
      <c r="J958" s="2" t="s">
        <v>5872</v>
      </c>
      <c r="K958" s="2" t="s">
        <v>5873</v>
      </c>
      <c r="L958" s="2" t="s">
        <v>5870</v>
      </c>
      <c r="M958" s="3" t="str">
        <f>VLOOKUP(G958,справочник!$B$1:$C$94,2,0)</f>
        <v>МСК+3</v>
      </c>
    </row>
    <row r="959" spans="1:13" ht="28.2" thickBot="1" x14ac:dyDescent="0.35">
      <c r="A959" s="1" t="s">
        <v>12</v>
      </c>
      <c r="B959" s="1">
        <v>3307</v>
      </c>
      <c r="C959" s="1" t="s">
        <v>5874</v>
      </c>
      <c r="D959" s="2" t="s">
        <v>5875</v>
      </c>
      <c r="E959" s="1" t="s">
        <v>29</v>
      </c>
      <c r="F959" s="1" t="s">
        <v>14</v>
      </c>
      <c r="G959" s="1" t="s">
        <v>43</v>
      </c>
      <c r="H959" s="1" t="s">
        <v>5876</v>
      </c>
      <c r="I959" s="1" t="s">
        <v>5877</v>
      </c>
      <c r="J959" s="2" t="s">
        <v>5878</v>
      </c>
      <c r="K959" s="2" t="s">
        <v>5879</v>
      </c>
      <c r="L959" s="2" t="s">
        <v>5880</v>
      </c>
      <c r="M959" s="3" t="str">
        <f>VLOOKUP(G959,справочник!$B$1:$C$94,2,0)</f>
        <v>МСК</v>
      </c>
    </row>
    <row r="960" spans="1:13" ht="28.2" thickBot="1" x14ac:dyDescent="0.35">
      <c r="A960" s="1" t="s">
        <v>12</v>
      </c>
      <c r="B960" s="1">
        <v>3210</v>
      </c>
      <c r="C960" s="1" t="s">
        <v>5881</v>
      </c>
      <c r="D960" s="2" t="s">
        <v>5882</v>
      </c>
      <c r="E960" s="1" t="s">
        <v>29</v>
      </c>
      <c r="F960" s="1" t="s">
        <v>14</v>
      </c>
      <c r="G960" s="1" t="s">
        <v>15</v>
      </c>
      <c r="H960" s="1" t="s">
        <v>16</v>
      </c>
      <c r="I960" s="1" t="s">
        <v>5883</v>
      </c>
      <c r="J960" s="2" t="s">
        <v>5884</v>
      </c>
      <c r="K960" s="2" t="s">
        <v>5885</v>
      </c>
      <c r="L960" s="2" t="s">
        <v>5886</v>
      </c>
      <c r="M960" s="3" t="str">
        <f>VLOOKUP(G960,справочник!$B$1:$C$94,2,0)</f>
        <v>МСК</v>
      </c>
    </row>
    <row r="961" spans="1:13" ht="42" thickBot="1" x14ac:dyDescent="0.35">
      <c r="A961" s="1" t="s">
        <v>261</v>
      </c>
      <c r="B961" s="1">
        <v>600</v>
      </c>
      <c r="C961" s="1" t="s">
        <v>5887</v>
      </c>
      <c r="D961" s="2" t="s">
        <v>5888</v>
      </c>
      <c r="E961" s="1" t="s">
        <v>29</v>
      </c>
      <c r="F961" s="1" t="s">
        <v>14</v>
      </c>
      <c r="G961" s="1" t="s">
        <v>667</v>
      </c>
      <c r="H961" s="1" t="s">
        <v>668</v>
      </c>
      <c r="I961" s="1" t="s">
        <v>5889</v>
      </c>
      <c r="J961" s="2" t="s">
        <v>5890</v>
      </c>
      <c r="K961" s="2" t="s">
        <v>5891</v>
      </c>
      <c r="L961" s="2" t="s">
        <v>5892</v>
      </c>
      <c r="M961" s="3" t="str">
        <f>VLOOKUP(G961,справочник!$B$1:$C$94,2,0)</f>
        <v>МСК</v>
      </c>
    </row>
    <row r="962" spans="1:13" ht="28.2" thickBot="1" x14ac:dyDescent="0.35">
      <c r="A962" s="1" t="s">
        <v>54</v>
      </c>
      <c r="B962" s="1">
        <v>3353</v>
      </c>
      <c r="C962" s="1" t="s">
        <v>5893</v>
      </c>
      <c r="D962" s="2" t="s">
        <v>5894</v>
      </c>
      <c r="E962" s="1" t="s">
        <v>29</v>
      </c>
      <c r="F962" s="1" t="s">
        <v>14</v>
      </c>
      <c r="G962" s="1" t="s">
        <v>667</v>
      </c>
      <c r="H962" s="1" t="s">
        <v>668</v>
      </c>
      <c r="I962" s="1" t="s">
        <v>5896</v>
      </c>
      <c r="J962" s="2" t="s">
        <v>5897</v>
      </c>
      <c r="K962" s="2" t="s">
        <v>5898</v>
      </c>
      <c r="L962" s="2" t="s">
        <v>5895</v>
      </c>
      <c r="M962" s="3" t="str">
        <f>VLOOKUP(G962,справочник!$B$1:$C$94,2,0)</f>
        <v>МСК</v>
      </c>
    </row>
    <row r="963" spans="1:13" ht="42" thickBot="1" x14ac:dyDescent="0.35">
      <c r="A963" s="1" t="s">
        <v>131</v>
      </c>
      <c r="B963" s="1">
        <v>574</v>
      </c>
      <c r="C963" s="1" t="s">
        <v>5899</v>
      </c>
      <c r="D963" s="2" t="s">
        <v>5900</v>
      </c>
      <c r="E963" s="1" t="s">
        <v>29</v>
      </c>
      <c r="F963" s="1" t="s">
        <v>14</v>
      </c>
      <c r="G963" s="1" t="s">
        <v>667</v>
      </c>
      <c r="H963" s="1" t="s">
        <v>668</v>
      </c>
      <c r="I963" s="1" t="s">
        <v>5901</v>
      </c>
      <c r="J963" s="2" t="s">
        <v>5902</v>
      </c>
      <c r="K963" s="2" t="s">
        <v>5903</v>
      </c>
      <c r="L963" s="2" t="s">
        <v>5904</v>
      </c>
      <c r="M963" s="3" t="str">
        <f>VLOOKUP(G963,справочник!$B$1:$C$94,2,0)</f>
        <v>МСК</v>
      </c>
    </row>
    <row r="964" spans="1:13" ht="42" thickBot="1" x14ac:dyDescent="0.35">
      <c r="A964" s="1" t="s">
        <v>146</v>
      </c>
      <c r="B964" s="1">
        <v>200</v>
      </c>
      <c r="C964" s="1" t="s">
        <v>5905</v>
      </c>
      <c r="D964" s="2" t="s">
        <v>5906</v>
      </c>
      <c r="E964" s="1" t="s">
        <v>29</v>
      </c>
      <c r="F964" s="1" t="s">
        <v>14</v>
      </c>
      <c r="G964" s="1" t="s">
        <v>667</v>
      </c>
      <c r="H964" s="1" t="s">
        <v>668</v>
      </c>
      <c r="I964" s="1" t="s">
        <v>5907</v>
      </c>
      <c r="J964" s="2" t="s">
        <v>5908</v>
      </c>
      <c r="K964" s="2" t="s">
        <v>5909</v>
      </c>
      <c r="L964" s="2" t="s">
        <v>5910</v>
      </c>
      <c r="M964" s="3" t="str">
        <f>VLOOKUP(G964,справочник!$B$1:$C$94,2,0)</f>
        <v>МСК</v>
      </c>
    </row>
    <row r="965" spans="1:13" ht="28.2" thickBot="1" x14ac:dyDescent="0.35">
      <c r="A965" s="1" t="s">
        <v>621</v>
      </c>
      <c r="B965" s="1">
        <v>622</v>
      </c>
      <c r="C965" s="1" t="s">
        <v>5911</v>
      </c>
      <c r="D965" s="2" t="s">
        <v>5912</v>
      </c>
      <c r="E965" s="1" t="s">
        <v>29</v>
      </c>
      <c r="F965" s="1" t="s">
        <v>14</v>
      </c>
      <c r="G965" s="1" t="s">
        <v>667</v>
      </c>
      <c r="H965" s="1" t="s">
        <v>668</v>
      </c>
      <c r="I965" s="1" t="s">
        <v>5913</v>
      </c>
      <c r="J965" s="2" t="s">
        <v>5914</v>
      </c>
      <c r="K965" s="2" t="s">
        <v>5915</v>
      </c>
      <c r="L965" s="2" t="s">
        <v>5916</v>
      </c>
      <c r="M965" s="3" t="str">
        <f>VLOOKUP(G965,справочник!$B$1:$C$94,2,0)</f>
        <v>МСК</v>
      </c>
    </row>
    <row r="966" spans="1:13" ht="42" thickBot="1" x14ac:dyDescent="0.35">
      <c r="A966" s="1" t="s">
        <v>12</v>
      </c>
      <c r="B966" s="1">
        <v>7840</v>
      </c>
      <c r="C966" s="1" t="s">
        <v>5917</v>
      </c>
      <c r="D966" s="2" t="s">
        <v>5918</v>
      </c>
      <c r="E966" s="1" t="s">
        <v>29</v>
      </c>
      <c r="F966" s="1" t="s">
        <v>109</v>
      </c>
      <c r="G966" s="1" t="s">
        <v>1352</v>
      </c>
      <c r="H966" s="1" t="s">
        <v>1353</v>
      </c>
      <c r="I966" s="1" t="s">
        <v>5920</v>
      </c>
      <c r="J966" s="2" t="s">
        <v>5921</v>
      </c>
      <c r="K966" s="2" t="s">
        <v>5922</v>
      </c>
      <c r="L966" s="2" t="s">
        <v>5919</v>
      </c>
      <c r="M966" s="3" t="str">
        <f>VLOOKUP(G966,справочник!$B$1:$C$94,2,0)</f>
        <v>МСК</v>
      </c>
    </row>
    <row r="967" spans="1:13" ht="28.2" thickBot="1" x14ac:dyDescent="0.35">
      <c r="A967" s="1" t="s">
        <v>12</v>
      </c>
      <c r="B967" s="1">
        <v>950</v>
      </c>
      <c r="C967" s="1" t="s">
        <v>5923</v>
      </c>
      <c r="D967" s="2" t="s">
        <v>5924</v>
      </c>
      <c r="E967" s="1" t="s">
        <v>29</v>
      </c>
      <c r="F967" s="1" t="s">
        <v>14</v>
      </c>
      <c r="G967" s="1" t="s">
        <v>208</v>
      </c>
      <c r="H967" s="1" t="s">
        <v>210</v>
      </c>
      <c r="I967" s="1" t="s">
        <v>5926</v>
      </c>
      <c r="J967" s="2" t="s">
        <v>5927</v>
      </c>
      <c r="K967" s="2" t="s">
        <v>5928</v>
      </c>
      <c r="L967" s="2" t="s">
        <v>5925</v>
      </c>
      <c r="M967" s="3" t="str">
        <f>VLOOKUP(G967,справочник!$B$1:$C$94,2,0)</f>
        <v>МСК</v>
      </c>
    </row>
    <row r="968" spans="1:13" ht="42" thickBot="1" x14ac:dyDescent="0.35">
      <c r="A968" s="1" t="s">
        <v>12</v>
      </c>
      <c r="B968" s="1">
        <v>3380</v>
      </c>
      <c r="C968" s="1" t="s">
        <v>5929</v>
      </c>
      <c r="D968" s="2" t="s">
        <v>5930</v>
      </c>
      <c r="E968" s="1" t="s">
        <v>29</v>
      </c>
      <c r="F968" s="1" t="s">
        <v>109</v>
      </c>
      <c r="G968" s="1" t="s">
        <v>1352</v>
      </c>
      <c r="H968" s="1" t="s">
        <v>1353</v>
      </c>
      <c r="I968" s="1" t="s">
        <v>5931</v>
      </c>
      <c r="J968" s="2" t="s">
        <v>5051</v>
      </c>
      <c r="K968" s="2" t="s">
        <v>5932</v>
      </c>
      <c r="L968" s="2" t="s">
        <v>5933</v>
      </c>
      <c r="M968" s="3" t="str">
        <f>VLOOKUP(G968,справочник!$B$1:$C$94,2,0)</f>
        <v>МСК</v>
      </c>
    </row>
    <row r="969" spans="1:13" ht="42" thickBot="1" x14ac:dyDescent="0.35">
      <c r="A969" s="1" t="s">
        <v>146</v>
      </c>
      <c r="B969" s="1">
        <v>201</v>
      </c>
      <c r="C969" s="1" t="s">
        <v>5934</v>
      </c>
      <c r="D969" s="2" t="s">
        <v>5935</v>
      </c>
      <c r="E969" s="1" t="s">
        <v>29</v>
      </c>
      <c r="F969" s="1" t="s">
        <v>21</v>
      </c>
      <c r="G969" s="1" t="s">
        <v>199</v>
      </c>
      <c r="H969" s="1" t="s">
        <v>3401</v>
      </c>
      <c r="I969" s="1" t="s">
        <v>5936</v>
      </c>
      <c r="J969" s="2" t="s">
        <v>334</v>
      </c>
      <c r="K969" s="2" t="s">
        <v>5937</v>
      </c>
      <c r="L969" s="2" t="s">
        <v>5938</v>
      </c>
      <c r="M969" s="3" t="str">
        <f>VLOOKUP(G969,справочник!$B$1:$C$94,2,0)</f>
        <v>МСК</v>
      </c>
    </row>
    <row r="970" spans="1:13" ht="55.8" thickBot="1" x14ac:dyDescent="0.35">
      <c r="A970" s="1" t="s">
        <v>146</v>
      </c>
      <c r="B970" s="1">
        <v>2218</v>
      </c>
      <c r="C970" s="1" t="s">
        <v>5939</v>
      </c>
      <c r="D970" s="2" t="s">
        <v>5940</v>
      </c>
      <c r="E970" s="1" t="s">
        <v>20</v>
      </c>
      <c r="F970" s="1" t="s">
        <v>109</v>
      </c>
      <c r="G970" s="1" t="s">
        <v>2981</v>
      </c>
      <c r="H970" s="1" t="s">
        <v>5941</v>
      </c>
      <c r="I970" s="1" t="s">
        <v>5942</v>
      </c>
      <c r="J970" s="2" t="s">
        <v>5943</v>
      </c>
      <c r="K970" s="2" t="s">
        <v>5944</v>
      </c>
      <c r="L970" s="2" t="s">
        <v>5945</v>
      </c>
      <c r="M970" s="3" t="str">
        <f>VLOOKUP(G970,справочник!$B$1:$C$94,2,0)</f>
        <v>МСК</v>
      </c>
    </row>
    <row r="971" spans="1:13" ht="42" thickBot="1" x14ac:dyDescent="0.35">
      <c r="A971" s="1" t="s">
        <v>12</v>
      </c>
      <c r="B971" s="1">
        <v>1300</v>
      </c>
      <c r="C971" s="1" t="s">
        <v>5946</v>
      </c>
      <c r="D971" s="2" t="s">
        <v>5947</v>
      </c>
      <c r="E971" s="1" t="s">
        <v>29</v>
      </c>
      <c r="F971" s="1" t="s">
        <v>14</v>
      </c>
      <c r="G971" s="1" t="s">
        <v>2527</v>
      </c>
      <c r="H971" s="1" t="s">
        <v>4283</v>
      </c>
      <c r="I971" s="1" t="s">
        <v>5948</v>
      </c>
      <c r="J971" s="2" t="s">
        <v>2657</v>
      </c>
      <c r="K971" s="2" t="s">
        <v>5949</v>
      </c>
      <c r="L971" s="2" t="s">
        <v>5950</v>
      </c>
      <c r="M971" s="3" t="str">
        <f>VLOOKUP(G971,справочник!$B$1:$C$94,2,0)</f>
        <v>МСК</v>
      </c>
    </row>
    <row r="972" spans="1:13" ht="42" thickBot="1" x14ac:dyDescent="0.35">
      <c r="A972" s="1" t="s">
        <v>12</v>
      </c>
      <c r="B972" s="1">
        <v>3227</v>
      </c>
      <c r="C972" s="1" t="s">
        <v>5951</v>
      </c>
      <c r="D972" s="2" t="s">
        <v>5952</v>
      </c>
      <c r="E972" s="1" t="s">
        <v>29</v>
      </c>
      <c r="F972" s="1" t="s">
        <v>14</v>
      </c>
      <c r="G972" s="1" t="s">
        <v>15</v>
      </c>
      <c r="H972" s="1" t="s">
        <v>16</v>
      </c>
      <c r="I972" s="1" t="s">
        <v>5953</v>
      </c>
      <c r="J972" s="2" t="s">
        <v>381</v>
      </c>
      <c r="K972" s="2" t="s">
        <v>5954</v>
      </c>
      <c r="L972" s="2" t="s">
        <v>5955</v>
      </c>
      <c r="M972" s="3" t="str">
        <f>VLOOKUP(G972,справочник!$B$1:$C$94,2,0)</f>
        <v>МСК</v>
      </c>
    </row>
    <row r="973" spans="1:13" ht="42" thickBot="1" x14ac:dyDescent="0.35">
      <c r="A973" s="1" t="s">
        <v>261</v>
      </c>
      <c r="B973" s="1">
        <v>778</v>
      </c>
      <c r="C973" s="1" t="s">
        <v>5956</v>
      </c>
      <c r="D973" s="2" t="s">
        <v>5957</v>
      </c>
      <c r="E973" s="1" t="s">
        <v>29</v>
      </c>
      <c r="F973" s="1" t="s">
        <v>109</v>
      </c>
      <c r="G973" s="1" t="s">
        <v>110</v>
      </c>
      <c r="H973" s="1" t="s">
        <v>111</v>
      </c>
      <c r="I973" s="1" t="s">
        <v>5959</v>
      </c>
      <c r="J973" s="2" t="s">
        <v>5960</v>
      </c>
      <c r="K973" s="2" t="s">
        <v>5961</v>
      </c>
      <c r="L973" s="2" t="s">
        <v>5958</v>
      </c>
      <c r="M973" s="3" t="str">
        <f>VLOOKUP(G973,справочник!$B$1:$C$94,2,0)</f>
        <v>МСК</v>
      </c>
    </row>
    <row r="974" spans="1:13" ht="69.599999999999994" thickBot="1" x14ac:dyDescent="0.35">
      <c r="A974" s="1" t="s">
        <v>131</v>
      </c>
      <c r="B974" s="1">
        <v>670</v>
      </c>
      <c r="C974" s="1" t="s">
        <v>5962</v>
      </c>
      <c r="D974" s="2" t="s">
        <v>5963</v>
      </c>
      <c r="E974" s="1" t="s">
        <v>29</v>
      </c>
      <c r="F974" s="1" t="s">
        <v>109</v>
      </c>
      <c r="G974" s="1" t="s">
        <v>110</v>
      </c>
      <c r="H974" s="1" t="s">
        <v>111</v>
      </c>
      <c r="I974" s="1" t="s">
        <v>5964</v>
      </c>
      <c r="J974" s="2" t="s">
        <v>5965</v>
      </c>
      <c r="K974" s="2" t="s">
        <v>5966</v>
      </c>
      <c r="L974" s="2" t="s">
        <v>5967</v>
      </c>
      <c r="M974" s="3" t="str">
        <f>VLOOKUP(G974,справочник!$B$1:$C$94,2,0)</f>
        <v>МСК</v>
      </c>
    </row>
    <row r="975" spans="1:13" ht="42" thickBot="1" x14ac:dyDescent="0.35">
      <c r="A975" s="1" t="s">
        <v>54</v>
      </c>
      <c r="B975" s="1">
        <v>3329</v>
      </c>
      <c r="C975" s="1" t="s">
        <v>5968</v>
      </c>
      <c r="D975" s="2" t="s">
        <v>5969</v>
      </c>
      <c r="E975" s="1" t="s">
        <v>29</v>
      </c>
      <c r="F975" s="1" t="s">
        <v>109</v>
      </c>
      <c r="G975" s="1" t="s">
        <v>110</v>
      </c>
      <c r="H975" s="1" t="s">
        <v>111</v>
      </c>
      <c r="I975" s="1" t="s">
        <v>5972</v>
      </c>
      <c r="J975" s="2" t="s">
        <v>3010</v>
      </c>
      <c r="K975" s="2" t="s">
        <v>5970</v>
      </c>
      <c r="L975" s="2" t="s">
        <v>5971</v>
      </c>
      <c r="M975" s="3" t="str">
        <f>VLOOKUP(G975,справочник!$B$1:$C$94,2,0)</f>
        <v>МСК</v>
      </c>
    </row>
    <row r="976" spans="1:13" ht="42" thickBot="1" x14ac:dyDescent="0.35">
      <c r="A976" s="1" t="s">
        <v>54</v>
      </c>
      <c r="B976" s="1">
        <v>3321</v>
      </c>
      <c r="C976" s="1" t="s">
        <v>5973</v>
      </c>
      <c r="D976" s="2" t="s">
        <v>5974</v>
      </c>
      <c r="E976" s="1" t="s">
        <v>29</v>
      </c>
      <c r="F976" s="1" t="s">
        <v>47</v>
      </c>
      <c r="G976" s="1" t="s">
        <v>7293</v>
      </c>
      <c r="H976" s="1" t="s">
        <v>5975</v>
      </c>
      <c r="I976" s="1" t="s">
        <v>5976</v>
      </c>
      <c r="J976" s="2" t="s">
        <v>381</v>
      </c>
      <c r="K976" s="2" t="s">
        <v>5977</v>
      </c>
      <c r="L976" s="2" t="s">
        <v>5978</v>
      </c>
      <c r="M976" s="3" t="str">
        <f>VLOOKUP(G976,справочник!$B$1:$C$94,2,0)</f>
        <v>МСК+2</v>
      </c>
    </row>
    <row r="977" spans="1:13" ht="42" thickBot="1" x14ac:dyDescent="0.35">
      <c r="A977" s="1" t="s">
        <v>54</v>
      </c>
      <c r="B977" s="1">
        <v>2864</v>
      </c>
      <c r="C977" s="1" t="s">
        <v>5979</v>
      </c>
      <c r="D977" s="2" t="s">
        <v>5980</v>
      </c>
      <c r="E977" s="1" t="s">
        <v>29</v>
      </c>
      <c r="F977" s="1" t="s">
        <v>47</v>
      </c>
      <c r="G977" s="1" t="s">
        <v>7293</v>
      </c>
      <c r="H977" s="1" t="s">
        <v>5975</v>
      </c>
      <c r="I977" s="1" t="s">
        <v>5981</v>
      </c>
      <c r="J977" s="2" t="s">
        <v>5982</v>
      </c>
      <c r="K977" s="2" t="s">
        <v>5983</v>
      </c>
      <c r="L977" s="2" t="s">
        <v>5984</v>
      </c>
      <c r="M977" s="3" t="str">
        <f>VLOOKUP(G977,справочник!$B$1:$C$94,2,0)</f>
        <v>МСК+2</v>
      </c>
    </row>
    <row r="978" spans="1:13" ht="42" thickBot="1" x14ac:dyDescent="0.35">
      <c r="A978" s="1" t="s">
        <v>146</v>
      </c>
      <c r="B978" s="1">
        <v>202</v>
      </c>
      <c r="C978" s="1" t="s">
        <v>5985</v>
      </c>
      <c r="D978" s="2" t="s">
        <v>5986</v>
      </c>
      <c r="E978" s="1" t="s">
        <v>29</v>
      </c>
      <c r="F978" s="1" t="s">
        <v>30</v>
      </c>
      <c r="G978" s="1" t="s">
        <v>3043</v>
      </c>
      <c r="H978" s="1" t="s">
        <v>3044</v>
      </c>
      <c r="I978" s="1" t="s">
        <v>5987</v>
      </c>
      <c r="J978" s="2" t="s">
        <v>5988</v>
      </c>
      <c r="K978" s="2" t="s">
        <v>5989</v>
      </c>
      <c r="L978" s="2" t="s">
        <v>5990</v>
      </c>
      <c r="M978" s="3" t="str">
        <f>VLOOKUP(G978,справочник!$B$1:$C$94,2,0)</f>
        <v>МСК</v>
      </c>
    </row>
    <row r="979" spans="1:13" ht="28.2" thickBot="1" x14ac:dyDescent="0.35">
      <c r="A979" s="1" t="s">
        <v>12</v>
      </c>
      <c r="B979" s="1">
        <v>7531</v>
      </c>
      <c r="C979" s="1" t="s">
        <v>5991</v>
      </c>
      <c r="D979" s="2" t="s">
        <v>5992</v>
      </c>
      <c r="E979" s="1" t="s">
        <v>29</v>
      </c>
      <c r="F979" s="1" t="s">
        <v>21</v>
      </c>
      <c r="G979" s="1" t="s">
        <v>1043</v>
      </c>
      <c r="H979" s="1" t="s">
        <v>3116</v>
      </c>
      <c r="I979" s="1" t="s">
        <v>5994</v>
      </c>
      <c r="J979" s="2" t="s">
        <v>1067</v>
      </c>
      <c r="K979" s="2" t="s">
        <v>5995</v>
      </c>
      <c r="L979" s="2" t="s">
        <v>5993</v>
      </c>
      <c r="M979" s="3" t="str">
        <f>VLOOKUP(G979,справочник!$B$1:$C$94,2,0)</f>
        <v>МСК</v>
      </c>
    </row>
    <row r="980" spans="1:13" ht="42" thickBot="1" x14ac:dyDescent="0.35">
      <c r="A980" s="1" t="s">
        <v>12</v>
      </c>
      <c r="B980" s="1">
        <v>3147</v>
      </c>
      <c r="C980" s="1" t="s">
        <v>5996</v>
      </c>
      <c r="D980" s="2" t="s">
        <v>5997</v>
      </c>
      <c r="E980" s="1" t="s">
        <v>29</v>
      </c>
      <c r="F980" s="1" t="s">
        <v>21</v>
      </c>
      <c r="G980" s="1" t="s">
        <v>22</v>
      </c>
      <c r="H980" s="1" t="s">
        <v>5998</v>
      </c>
      <c r="I980" s="1" t="s">
        <v>5999</v>
      </c>
      <c r="J980" s="2" t="s">
        <v>6000</v>
      </c>
      <c r="K980" s="2" t="s">
        <v>6001</v>
      </c>
      <c r="L980" s="2" t="s">
        <v>6002</v>
      </c>
      <c r="M980" s="3" t="str">
        <f>VLOOKUP(G980,справочник!$B$1:$C$94,2,0)</f>
        <v>МСК</v>
      </c>
    </row>
    <row r="981" spans="1:13" ht="42" thickBot="1" x14ac:dyDescent="0.35">
      <c r="A981" s="1" t="s">
        <v>12</v>
      </c>
      <c r="B981" s="1">
        <v>3927</v>
      </c>
      <c r="C981" s="1" t="s">
        <v>6003</v>
      </c>
      <c r="D981" s="2" t="s">
        <v>6004</v>
      </c>
      <c r="E981" s="1" t="s">
        <v>29</v>
      </c>
      <c r="F981" s="1" t="s">
        <v>14</v>
      </c>
      <c r="G981" s="1" t="s">
        <v>960</v>
      </c>
      <c r="H981" s="1" t="s">
        <v>961</v>
      </c>
      <c r="I981" s="1" t="s">
        <v>6006</v>
      </c>
      <c r="J981" s="2" t="s">
        <v>6007</v>
      </c>
      <c r="K981" s="2" t="s">
        <v>6008</v>
      </c>
      <c r="L981" s="2" t="s">
        <v>6005</v>
      </c>
      <c r="M981" s="3" t="str">
        <f>VLOOKUP(G981,справочник!$B$1:$C$94,2,0)</f>
        <v>МСК</v>
      </c>
    </row>
    <row r="982" spans="1:13" ht="42" thickBot="1" x14ac:dyDescent="0.35">
      <c r="A982" s="1" t="s">
        <v>54</v>
      </c>
      <c r="B982" s="1">
        <v>932</v>
      </c>
      <c r="C982" s="1" t="s">
        <v>6009</v>
      </c>
      <c r="D982" s="2" t="s">
        <v>6010</v>
      </c>
      <c r="E982" s="1" t="s">
        <v>29</v>
      </c>
      <c r="F982" s="1" t="s">
        <v>14</v>
      </c>
      <c r="G982" s="1" t="s">
        <v>960</v>
      </c>
      <c r="H982" s="1" t="s">
        <v>961</v>
      </c>
      <c r="I982" s="1" t="s">
        <v>6012</v>
      </c>
      <c r="J982" s="2" t="s">
        <v>467</v>
      </c>
      <c r="K982" s="2" t="s">
        <v>6013</v>
      </c>
      <c r="L982" s="2" t="s">
        <v>6011</v>
      </c>
      <c r="M982" s="3" t="str">
        <f>VLOOKUP(G982,справочник!$B$1:$C$94,2,0)</f>
        <v>МСК</v>
      </c>
    </row>
    <row r="983" spans="1:13" ht="42" thickBot="1" x14ac:dyDescent="0.35">
      <c r="A983" s="1" t="s">
        <v>146</v>
      </c>
      <c r="B983" s="1">
        <v>203</v>
      </c>
      <c r="C983" s="1" t="s">
        <v>6014</v>
      </c>
      <c r="D983" s="2" t="s">
        <v>6015</v>
      </c>
      <c r="E983" s="1" t="s">
        <v>29</v>
      </c>
      <c r="F983" s="1" t="s">
        <v>14</v>
      </c>
      <c r="G983" s="1" t="s">
        <v>960</v>
      </c>
      <c r="H983" s="1" t="s">
        <v>961</v>
      </c>
      <c r="I983" s="1" t="s">
        <v>6016</v>
      </c>
      <c r="J983" s="2" t="s">
        <v>5819</v>
      </c>
      <c r="K983" s="2" t="s">
        <v>6017</v>
      </c>
      <c r="L983" s="2" t="s">
        <v>6018</v>
      </c>
      <c r="M983" s="3" t="str">
        <f>VLOOKUP(G983,справочник!$B$1:$C$94,2,0)</f>
        <v>МСК</v>
      </c>
    </row>
    <row r="984" spans="1:13" ht="55.8" thickBot="1" x14ac:dyDescent="0.35">
      <c r="A984" s="1" t="s">
        <v>146</v>
      </c>
      <c r="B984" s="1">
        <v>204</v>
      </c>
      <c r="C984" s="1" t="s">
        <v>6019</v>
      </c>
      <c r="D984" s="2" t="s">
        <v>6020</v>
      </c>
      <c r="E984" s="1" t="s">
        <v>29</v>
      </c>
      <c r="F984" s="1" t="s">
        <v>14</v>
      </c>
      <c r="G984" s="1" t="s">
        <v>960</v>
      </c>
      <c r="H984" s="1" t="s">
        <v>961</v>
      </c>
      <c r="I984" s="1" t="s">
        <v>6022</v>
      </c>
      <c r="J984" s="2" t="s">
        <v>6023</v>
      </c>
      <c r="K984" s="2" t="s">
        <v>6024</v>
      </c>
      <c r="L984" s="2" t="s">
        <v>6021</v>
      </c>
      <c r="M984" s="3" t="str">
        <f>VLOOKUP(G984,справочник!$B$1:$C$94,2,0)</f>
        <v>МСК</v>
      </c>
    </row>
    <row r="985" spans="1:13" ht="42" thickBot="1" x14ac:dyDescent="0.35">
      <c r="A985" s="1" t="s">
        <v>261</v>
      </c>
      <c r="B985" s="1">
        <v>1301</v>
      </c>
      <c r="C985" s="1" t="s">
        <v>6025</v>
      </c>
      <c r="D985" s="2" t="s">
        <v>6026</v>
      </c>
      <c r="E985" s="1" t="s">
        <v>29</v>
      </c>
      <c r="F985" s="1" t="s">
        <v>14</v>
      </c>
      <c r="G985" s="1" t="s">
        <v>665</v>
      </c>
      <c r="H985" s="1" t="s">
        <v>666</v>
      </c>
      <c r="I985" s="1" t="s">
        <v>6028</v>
      </c>
      <c r="J985" s="2" t="s">
        <v>1494</v>
      </c>
      <c r="K985" s="2" t="s">
        <v>6029</v>
      </c>
      <c r="L985" s="2" t="s">
        <v>6027</v>
      </c>
      <c r="M985" s="3" t="str">
        <f>VLOOKUP(G985,справочник!$B$1:$C$94,2,0)</f>
        <v>МСК</v>
      </c>
    </row>
    <row r="986" spans="1:13" ht="42" thickBot="1" x14ac:dyDescent="0.35">
      <c r="A986" s="1" t="s">
        <v>131</v>
      </c>
      <c r="B986" s="1">
        <v>686</v>
      </c>
      <c r="C986" s="1" t="s">
        <v>6030</v>
      </c>
      <c r="D986" s="2" t="s">
        <v>6031</v>
      </c>
      <c r="E986" s="1" t="s">
        <v>29</v>
      </c>
      <c r="F986" s="1" t="s">
        <v>14</v>
      </c>
      <c r="G986" s="1" t="s">
        <v>665</v>
      </c>
      <c r="H986" s="1" t="s">
        <v>666</v>
      </c>
      <c r="I986" s="1" t="s">
        <v>6032</v>
      </c>
      <c r="J986" s="2" t="s">
        <v>5188</v>
      </c>
      <c r="K986" s="2" t="s">
        <v>6033</v>
      </c>
      <c r="L986" s="2" t="s">
        <v>6034</v>
      </c>
      <c r="M986" s="3" t="str">
        <f>VLOOKUP(G986,справочник!$B$1:$C$94,2,0)</f>
        <v>МСК</v>
      </c>
    </row>
    <row r="987" spans="1:13" ht="42" thickBot="1" x14ac:dyDescent="0.35">
      <c r="A987" s="1" t="s">
        <v>146</v>
      </c>
      <c r="B987" s="1">
        <v>205</v>
      </c>
      <c r="C987" s="1" t="s">
        <v>6035</v>
      </c>
      <c r="D987" s="2" t="s">
        <v>6036</v>
      </c>
      <c r="E987" s="1" t="s">
        <v>29</v>
      </c>
      <c r="F987" s="1" t="s">
        <v>14</v>
      </c>
      <c r="G987" s="1" t="s">
        <v>665</v>
      </c>
      <c r="H987" s="1" t="s">
        <v>666</v>
      </c>
      <c r="I987" s="1" t="s">
        <v>6037</v>
      </c>
      <c r="J987" s="2" t="s">
        <v>6038</v>
      </c>
      <c r="K987" s="2" t="s">
        <v>6039</v>
      </c>
      <c r="L987" s="2" t="s">
        <v>6040</v>
      </c>
      <c r="M987" s="3" t="str">
        <f>VLOOKUP(G987,справочник!$B$1:$C$94,2,0)</f>
        <v>МСК</v>
      </c>
    </row>
    <row r="988" spans="1:13" ht="42" thickBot="1" x14ac:dyDescent="0.35">
      <c r="A988" s="1" t="s">
        <v>146</v>
      </c>
      <c r="B988" s="1">
        <v>206</v>
      </c>
      <c r="C988" s="1" t="s">
        <v>6041</v>
      </c>
      <c r="D988" s="2" t="s">
        <v>6042</v>
      </c>
      <c r="E988" s="1" t="s">
        <v>29</v>
      </c>
      <c r="F988" s="1" t="s">
        <v>14</v>
      </c>
      <c r="G988" s="1" t="s">
        <v>665</v>
      </c>
      <c r="H988" s="1" t="s">
        <v>666</v>
      </c>
      <c r="I988" s="1" t="s">
        <v>6043</v>
      </c>
      <c r="J988" s="2" t="s">
        <v>6044</v>
      </c>
      <c r="K988" s="2" t="s">
        <v>6045</v>
      </c>
      <c r="L988" s="2" t="s">
        <v>6046</v>
      </c>
      <c r="M988" s="3" t="str">
        <f>VLOOKUP(G988,справочник!$B$1:$C$94,2,0)</f>
        <v>МСК</v>
      </c>
    </row>
    <row r="989" spans="1:13" ht="55.8" thickBot="1" x14ac:dyDescent="0.35">
      <c r="A989" s="1" t="s">
        <v>177</v>
      </c>
      <c r="B989" s="1">
        <v>743</v>
      </c>
      <c r="C989" s="1" t="s">
        <v>6047</v>
      </c>
      <c r="D989" s="2" t="s">
        <v>6048</v>
      </c>
      <c r="E989" s="1" t="s">
        <v>29</v>
      </c>
      <c r="F989" s="1" t="s">
        <v>14</v>
      </c>
      <c r="G989" s="1" t="s">
        <v>15</v>
      </c>
      <c r="H989" s="1" t="s">
        <v>16</v>
      </c>
      <c r="I989" s="1" t="s">
        <v>6049</v>
      </c>
      <c r="J989" s="2" t="s">
        <v>1923</v>
      </c>
      <c r="K989" s="2" t="s">
        <v>6050</v>
      </c>
      <c r="L989" s="2" t="s">
        <v>6051</v>
      </c>
      <c r="M989" s="3" t="str">
        <f>VLOOKUP(G989,справочник!$B$1:$C$94,2,0)</f>
        <v>МСК</v>
      </c>
    </row>
    <row r="990" spans="1:13" ht="42" thickBot="1" x14ac:dyDescent="0.35">
      <c r="A990" s="1" t="s">
        <v>12</v>
      </c>
      <c r="B990" s="1">
        <v>3142</v>
      </c>
      <c r="C990" s="1" t="s">
        <v>6052</v>
      </c>
      <c r="D990" s="2" t="s">
        <v>6053</v>
      </c>
      <c r="E990" s="1" t="s">
        <v>29</v>
      </c>
      <c r="F990" s="1" t="s">
        <v>47</v>
      </c>
      <c r="G990" s="1" t="s">
        <v>48</v>
      </c>
      <c r="H990" s="1" t="s">
        <v>6054</v>
      </c>
      <c r="I990" s="1" t="s">
        <v>6055</v>
      </c>
      <c r="J990" s="2" t="s">
        <v>6056</v>
      </c>
      <c r="K990" s="2" t="s">
        <v>6057</v>
      </c>
      <c r="L990" s="2" t="s">
        <v>6058</v>
      </c>
      <c r="M990" s="3" t="str">
        <f>VLOOKUP(G990,справочник!$B$1:$C$94,2,0)</f>
        <v>МСК+2</v>
      </c>
    </row>
    <row r="991" spans="1:13" ht="42" thickBot="1" x14ac:dyDescent="0.35">
      <c r="A991" s="1" t="s">
        <v>131</v>
      </c>
      <c r="B991" s="1">
        <v>720</v>
      </c>
      <c r="C991" s="1" t="s">
        <v>6059</v>
      </c>
      <c r="D991" s="2" t="s">
        <v>6060</v>
      </c>
      <c r="E991" s="1" t="s">
        <v>29</v>
      </c>
      <c r="F991" s="1" t="s">
        <v>114</v>
      </c>
      <c r="G991" s="1" t="s">
        <v>121</v>
      </c>
      <c r="H991" s="1" t="s">
        <v>122</v>
      </c>
      <c r="I991" s="1" t="s">
        <v>6061</v>
      </c>
      <c r="J991" s="2" t="s">
        <v>5188</v>
      </c>
      <c r="K991" s="2" t="s">
        <v>6062</v>
      </c>
      <c r="L991" s="2" t="s">
        <v>6063</v>
      </c>
      <c r="M991" s="3" t="str">
        <f>VLOOKUP(G991,справочник!$B$1:$C$94,2,0)</f>
        <v>МСК+7</v>
      </c>
    </row>
    <row r="992" spans="1:13" ht="42" thickBot="1" x14ac:dyDescent="0.35">
      <c r="A992" s="1" t="s">
        <v>146</v>
      </c>
      <c r="B992" s="1">
        <v>207</v>
      </c>
      <c r="C992" s="1" t="s">
        <v>6064</v>
      </c>
      <c r="D992" s="2" t="s">
        <v>6065</v>
      </c>
      <c r="E992" s="1" t="s">
        <v>29</v>
      </c>
      <c r="F992" s="1" t="s">
        <v>114</v>
      </c>
      <c r="G992" s="1" t="s">
        <v>322</v>
      </c>
      <c r="H992" s="1" t="s">
        <v>1407</v>
      </c>
      <c r="I992" s="1" t="s">
        <v>6066</v>
      </c>
      <c r="J992" s="2" t="s">
        <v>6067</v>
      </c>
      <c r="K992" s="2" t="s">
        <v>6068</v>
      </c>
      <c r="L992" s="2" t="s">
        <v>6069</v>
      </c>
      <c r="M992" s="3" t="str">
        <f>VLOOKUP(G992,справочник!$B$1:$C$94,2,0)</f>
        <v>МСК+7</v>
      </c>
    </row>
    <row r="993" spans="1:13" ht="42" thickBot="1" x14ac:dyDescent="0.35">
      <c r="A993" s="1" t="s">
        <v>146</v>
      </c>
      <c r="B993" s="1">
        <v>1818</v>
      </c>
      <c r="C993" s="1" t="s">
        <v>6070</v>
      </c>
      <c r="D993" s="2" t="s">
        <v>6071</v>
      </c>
      <c r="E993" s="1" t="s">
        <v>20</v>
      </c>
      <c r="F993" s="1" t="s">
        <v>114</v>
      </c>
      <c r="G993" s="1" t="s">
        <v>121</v>
      </c>
      <c r="H993" s="1" t="s">
        <v>122</v>
      </c>
      <c r="I993" s="1" t="s">
        <v>6074</v>
      </c>
      <c r="J993" s="2" t="s">
        <v>6075</v>
      </c>
      <c r="K993" s="2" t="s">
        <v>6072</v>
      </c>
      <c r="L993" s="2" t="s">
        <v>6073</v>
      </c>
      <c r="M993" s="3" t="str">
        <f>VLOOKUP(G993,справочник!$B$1:$C$94,2,0)</f>
        <v>МСК+7</v>
      </c>
    </row>
    <row r="994" spans="1:13" ht="42" thickBot="1" x14ac:dyDescent="0.35">
      <c r="A994" s="1" t="s">
        <v>146</v>
      </c>
      <c r="B994" s="1">
        <v>2208</v>
      </c>
      <c r="C994" s="1" t="s">
        <v>6076</v>
      </c>
      <c r="D994" s="2" t="s">
        <v>6077</v>
      </c>
      <c r="E994" s="1" t="s">
        <v>20</v>
      </c>
      <c r="F994" s="1" t="s">
        <v>114</v>
      </c>
      <c r="G994" s="1" t="s">
        <v>121</v>
      </c>
      <c r="H994" s="1" t="s">
        <v>122</v>
      </c>
      <c r="I994" s="1" t="s">
        <v>6078</v>
      </c>
      <c r="J994" s="2" t="s">
        <v>1692</v>
      </c>
      <c r="K994" s="2" t="s">
        <v>6079</v>
      </c>
      <c r="L994" s="2" t="s">
        <v>6080</v>
      </c>
      <c r="M994" s="3" t="str">
        <f>VLOOKUP(G994,справочник!$B$1:$C$94,2,0)</f>
        <v>МСК+7</v>
      </c>
    </row>
    <row r="995" spans="1:13" ht="55.8" thickBot="1" x14ac:dyDescent="0.35">
      <c r="A995" s="1" t="s">
        <v>146</v>
      </c>
      <c r="B995" s="1">
        <v>1976</v>
      </c>
      <c r="C995" s="1" t="s">
        <v>6081</v>
      </c>
      <c r="D995" s="2" t="s">
        <v>6082</v>
      </c>
      <c r="E995" s="1" t="s">
        <v>20</v>
      </c>
      <c r="F995" s="1" t="s">
        <v>114</v>
      </c>
      <c r="G995" s="1" t="s">
        <v>121</v>
      </c>
      <c r="H995" s="1" t="s">
        <v>122</v>
      </c>
      <c r="I995" s="1" t="s">
        <v>6084</v>
      </c>
      <c r="J995" s="2" t="s">
        <v>6085</v>
      </c>
      <c r="K995" s="2" t="s">
        <v>6083</v>
      </c>
      <c r="L995" s="2" t="s">
        <v>6086</v>
      </c>
      <c r="M995" s="3" t="str">
        <f>VLOOKUP(G995,справочник!$B$1:$C$94,2,0)</f>
        <v>МСК+7</v>
      </c>
    </row>
    <row r="996" spans="1:13" ht="42" thickBot="1" x14ac:dyDescent="0.35">
      <c r="A996" s="1" t="s">
        <v>146</v>
      </c>
      <c r="B996" s="1">
        <v>2019</v>
      </c>
      <c r="C996" s="1" t="s">
        <v>6087</v>
      </c>
      <c r="D996" s="2" t="s">
        <v>6088</v>
      </c>
      <c r="E996" s="1" t="s">
        <v>20</v>
      </c>
      <c r="F996" s="1" t="s">
        <v>47</v>
      </c>
      <c r="G996" s="1" t="s">
        <v>6089</v>
      </c>
      <c r="H996" s="1" t="s">
        <v>6090</v>
      </c>
      <c r="I996" s="1" t="s">
        <v>6091</v>
      </c>
      <c r="J996" s="2" t="s">
        <v>92</v>
      </c>
      <c r="K996" s="2" t="s">
        <v>92</v>
      </c>
      <c r="L996" s="2" t="s">
        <v>92</v>
      </c>
      <c r="M996" s="3" t="str">
        <f>VLOOKUP(G996,справочник!$B$1:$C$94,2,0)</f>
        <v>МСК+2</v>
      </c>
    </row>
    <row r="997" spans="1:13" ht="55.8" thickBot="1" x14ac:dyDescent="0.35">
      <c r="A997" s="1" t="s">
        <v>12</v>
      </c>
      <c r="B997" s="1">
        <v>960</v>
      </c>
      <c r="C997" s="1" t="s">
        <v>6092</v>
      </c>
      <c r="D997" s="2" t="s">
        <v>6093</v>
      </c>
      <c r="E997" s="1" t="s">
        <v>29</v>
      </c>
      <c r="F997" s="1" t="s">
        <v>222</v>
      </c>
      <c r="G997" s="1" t="s">
        <v>740</v>
      </c>
      <c r="H997" s="1" t="s">
        <v>6095</v>
      </c>
      <c r="I997" s="1" t="s">
        <v>6096</v>
      </c>
      <c r="J997" s="2" t="s">
        <v>6097</v>
      </c>
      <c r="K997" s="2" t="s">
        <v>6098</v>
      </c>
      <c r="L997" s="2" t="s">
        <v>6094</v>
      </c>
      <c r="M997" s="3" t="str">
        <f>VLOOKUP(G997,справочник!$B$1:$C$94,2,0)</f>
        <v>МСК+1</v>
      </c>
    </row>
    <row r="998" spans="1:13" ht="42" thickBot="1" x14ac:dyDescent="0.35">
      <c r="A998" s="1" t="s">
        <v>146</v>
      </c>
      <c r="B998" s="1">
        <v>208</v>
      </c>
      <c r="C998" s="1" t="s">
        <v>6099</v>
      </c>
      <c r="D998" s="2" t="s">
        <v>6100</v>
      </c>
      <c r="E998" s="1" t="s">
        <v>29</v>
      </c>
      <c r="F998" s="1" t="s">
        <v>222</v>
      </c>
      <c r="G998" s="1" t="s">
        <v>740</v>
      </c>
      <c r="H998" s="1" t="s">
        <v>741</v>
      </c>
      <c r="I998" s="1" t="s">
        <v>6101</v>
      </c>
      <c r="J998" s="2" t="s">
        <v>1029</v>
      </c>
      <c r="K998" s="2" t="s">
        <v>6102</v>
      </c>
      <c r="L998" s="2" t="s">
        <v>6103</v>
      </c>
      <c r="M998" s="3" t="str">
        <f>VLOOKUP(G998,справочник!$B$1:$C$94,2,0)</f>
        <v>МСК+1</v>
      </c>
    </row>
    <row r="999" spans="1:13" ht="42" thickBot="1" x14ac:dyDescent="0.35">
      <c r="A999" s="1" t="s">
        <v>12</v>
      </c>
      <c r="B999" s="1">
        <v>7590</v>
      </c>
      <c r="C999" s="1" t="s">
        <v>6104</v>
      </c>
      <c r="D999" s="2" t="s">
        <v>6105</v>
      </c>
      <c r="E999" s="1" t="s">
        <v>29</v>
      </c>
      <c r="F999" s="1" t="s">
        <v>36</v>
      </c>
      <c r="G999" s="1" t="s">
        <v>2158</v>
      </c>
      <c r="H999" s="1" t="s">
        <v>2159</v>
      </c>
      <c r="I999" s="1" t="s">
        <v>6106</v>
      </c>
      <c r="J999" s="2" t="s">
        <v>6107</v>
      </c>
      <c r="K999" s="2" t="s">
        <v>6108</v>
      </c>
      <c r="L999" s="2" t="s">
        <v>6109</v>
      </c>
      <c r="M999" s="3" t="str">
        <f>VLOOKUP(G999,справочник!$B$1:$C$94,2,0)</f>
        <v>МСК+4</v>
      </c>
    </row>
    <row r="1000" spans="1:13" ht="42" thickBot="1" x14ac:dyDescent="0.35">
      <c r="A1000" s="1" t="s">
        <v>146</v>
      </c>
      <c r="B1000" s="1">
        <v>209</v>
      </c>
      <c r="C1000" s="1" t="s">
        <v>6110</v>
      </c>
      <c r="D1000" s="2" t="s">
        <v>6111</v>
      </c>
      <c r="E1000" s="1" t="s">
        <v>29</v>
      </c>
      <c r="F1000" s="1" t="s">
        <v>36</v>
      </c>
      <c r="G1000" s="1" t="s">
        <v>2158</v>
      </c>
      <c r="H1000" s="1" t="s">
        <v>2159</v>
      </c>
      <c r="I1000" s="1" t="s">
        <v>6113</v>
      </c>
      <c r="J1000" s="2" t="s">
        <v>6114</v>
      </c>
      <c r="K1000" s="2" t="s">
        <v>6115</v>
      </c>
      <c r="L1000" s="2" t="s">
        <v>6112</v>
      </c>
      <c r="M1000" s="3" t="str">
        <f>VLOOKUP(G1000,справочник!$B$1:$C$94,2,0)</f>
        <v>МСК+4</v>
      </c>
    </row>
    <row r="1001" spans="1:13" ht="28.2" thickBot="1" x14ac:dyDescent="0.35">
      <c r="A1001" s="1" t="s">
        <v>168</v>
      </c>
      <c r="B1001" s="1">
        <v>210</v>
      </c>
      <c r="C1001" s="1" t="s">
        <v>6116</v>
      </c>
      <c r="D1001" s="2" t="s">
        <v>6117</v>
      </c>
      <c r="E1001" s="1" t="s">
        <v>29</v>
      </c>
      <c r="F1001" s="1" t="s">
        <v>36</v>
      </c>
      <c r="G1001" s="1" t="s">
        <v>2158</v>
      </c>
      <c r="H1001" s="1" t="s">
        <v>2159</v>
      </c>
      <c r="I1001" s="1" t="s">
        <v>6120</v>
      </c>
      <c r="J1001" s="2" t="s">
        <v>6121</v>
      </c>
      <c r="K1001" s="2" t="s">
        <v>6118</v>
      </c>
      <c r="L1001" s="2" t="s">
        <v>6119</v>
      </c>
      <c r="M1001" s="3" t="str">
        <f>VLOOKUP(G1001,справочник!$B$1:$C$94,2,0)</f>
        <v>МСК+4</v>
      </c>
    </row>
    <row r="1002" spans="1:13" ht="42" thickBot="1" x14ac:dyDescent="0.35">
      <c r="A1002" s="1" t="s">
        <v>146</v>
      </c>
      <c r="B1002" s="1">
        <v>212</v>
      </c>
      <c r="C1002" s="1" t="s">
        <v>6122</v>
      </c>
      <c r="D1002" s="2" t="s">
        <v>6123</v>
      </c>
      <c r="E1002" s="1" t="s">
        <v>29</v>
      </c>
      <c r="F1002" s="1" t="s">
        <v>36</v>
      </c>
      <c r="G1002" s="1" t="s">
        <v>2158</v>
      </c>
      <c r="H1002" s="1" t="s">
        <v>2159</v>
      </c>
      <c r="I1002" s="1" t="s">
        <v>6124</v>
      </c>
      <c r="J1002" s="2" t="s">
        <v>6125</v>
      </c>
      <c r="K1002" s="2" t="s">
        <v>6126</v>
      </c>
      <c r="L1002" s="2" t="s">
        <v>6127</v>
      </c>
      <c r="M1002" s="3" t="str">
        <f>VLOOKUP(G1002,справочник!$B$1:$C$94,2,0)</f>
        <v>МСК+4</v>
      </c>
    </row>
    <row r="1003" spans="1:13" ht="42" thickBot="1" x14ac:dyDescent="0.35">
      <c r="A1003" s="1" t="s">
        <v>146</v>
      </c>
      <c r="B1003" s="1">
        <v>2132</v>
      </c>
      <c r="C1003" s="1" t="s">
        <v>6128</v>
      </c>
      <c r="D1003" s="2" t="s">
        <v>6129</v>
      </c>
      <c r="E1003" s="1" t="s">
        <v>20</v>
      </c>
      <c r="F1003" s="1" t="s">
        <v>36</v>
      </c>
      <c r="G1003" s="1" t="s">
        <v>2158</v>
      </c>
      <c r="H1003" s="1" t="s">
        <v>2159</v>
      </c>
      <c r="I1003" s="1" t="s">
        <v>6130</v>
      </c>
      <c r="J1003" s="2" t="s">
        <v>6131</v>
      </c>
      <c r="K1003" s="2" t="s">
        <v>6132</v>
      </c>
      <c r="L1003" s="2" t="s">
        <v>6133</v>
      </c>
      <c r="M1003" s="3" t="str">
        <f>VLOOKUP(G1003,справочник!$B$1:$C$94,2,0)</f>
        <v>МСК+4</v>
      </c>
    </row>
    <row r="1004" spans="1:13" ht="97.2" thickBot="1" x14ac:dyDescent="0.35">
      <c r="A1004" s="1" t="s">
        <v>146</v>
      </c>
      <c r="B1004" s="1">
        <v>1893</v>
      </c>
      <c r="C1004" s="1" t="s">
        <v>6134</v>
      </c>
      <c r="D1004" s="2" t="s">
        <v>6135</v>
      </c>
      <c r="E1004" s="1" t="s">
        <v>20</v>
      </c>
      <c r="F1004" s="1" t="s">
        <v>36</v>
      </c>
      <c r="G1004" s="1" t="s">
        <v>2158</v>
      </c>
      <c r="H1004" s="1" t="s">
        <v>2159</v>
      </c>
      <c r="I1004" s="1" t="s">
        <v>6136</v>
      </c>
      <c r="J1004" s="2" t="s">
        <v>6137</v>
      </c>
      <c r="K1004" s="2" t="s">
        <v>6138</v>
      </c>
      <c r="L1004" s="2" t="s">
        <v>6139</v>
      </c>
      <c r="M1004" s="3" t="str">
        <f>VLOOKUP(G1004,справочник!$B$1:$C$94,2,0)</f>
        <v>МСК+4</v>
      </c>
    </row>
    <row r="1005" spans="1:13" ht="42" thickBot="1" x14ac:dyDescent="0.35">
      <c r="A1005" s="1" t="s">
        <v>146</v>
      </c>
      <c r="B1005" s="1">
        <v>216</v>
      </c>
      <c r="C1005" s="1" t="s">
        <v>6140</v>
      </c>
      <c r="D1005" s="2" t="s">
        <v>6141</v>
      </c>
      <c r="E1005" s="1" t="s">
        <v>29</v>
      </c>
      <c r="F1005" s="1" t="s">
        <v>36</v>
      </c>
      <c r="G1005" s="1" t="s">
        <v>6142</v>
      </c>
      <c r="H1005" s="1" t="s">
        <v>6143</v>
      </c>
      <c r="I1005" s="1" t="s">
        <v>6144</v>
      </c>
      <c r="J1005" s="2" t="s">
        <v>6145</v>
      </c>
      <c r="K1005" s="2" t="s">
        <v>6146</v>
      </c>
      <c r="L1005" s="2" t="s">
        <v>6147</v>
      </c>
      <c r="M1005" s="3" t="str">
        <f>VLOOKUP(G1005,справочник!$B$1:$C$94,2,0)</f>
        <v>МСК+4</v>
      </c>
    </row>
    <row r="1006" spans="1:13" ht="42" thickBot="1" x14ac:dyDescent="0.35">
      <c r="A1006" s="1" t="s">
        <v>146</v>
      </c>
      <c r="B1006" s="1">
        <v>1984</v>
      </c>
      <c r="C1006" s="1" t="s">
        <v>6148</v>
      </c>
      <c r="D1006" s="2" t="s">
        <v>6149</v>
      </c>
      <c r="E1006" s="1" t="s">
        <v>20</v>
      </c>
      <c r="F1006" s="1" t="s">
        <v>36</v>
      </c>
      <c r="G1006" s="1" t="s">
        <v>6142</v>
      </c>
      <c r="H1006" s="1" t="s">
        <v>6143</v>
      </c>
      <c r="I1006" s="1" t="s">
        <v>6150</v>
      </c>
      <c r="J1006" s="2" t="s">
        <v>92</v>
      </c>
      <c r="K1006" s="2" t="s">
        <v>92</v>
      </c>
      <c r="L1006" s="2" t="s">
        <v>92</v>
      </c>
      <c r="M1006" s="3" t="str">
        <f>VLOOKUP(G1006,справочник!$B$1:$C$94,2,0)</f>
        <v>МСК+4</v>
      </c>
    </row>
    <row r="1007" spans="1:13" ht="28.2" thickBot="1" x14ac:dyDescent="0.35">
      <c r="A1007" s="1" t="s">
        <v>12</v>
      </c>
      <c r="B1007" s="1">
        <v>3661</v>
      </c>
      <c r="C1007" s="1" t="s">
        <v>6151</v>
      </c>
      <c r="D1007" s="2" t="s">
        <v>6152</v>
      </c>
      <c r="E1007" s="1" t="s">
        <v>29</v>
      </c>
      <c r="F1007" s="1" t="s">
        <v>14</v>
      </c>
      <c r="G1007" s="1" t="s">
        <v>1631</v>
      </c>
      <c r="H1007" s="1" t="s">
        <v>3388</v>
      </c>
      <c r="I1007" s="1" t="s">
        <v>6154</v>
      </c>
      <c r="J1007" s="2" t="s">
        <v>922</v>
      </c>
      <c r="K1007" s="2" t="s">
        <v>6153</v>
      </c>
      <c r="L1007" s="2" t="s">
        <v>6155</v>
      </c>
      <c r="M1007" s="3" t="str">
        <f>VLOOKUP(G1007,справочник!$B$1:$C$94,2,0)</f>
        <v>МСК</v>
      </c>
    </row>
    <row r="1008" spans="1:13" ht="42" thickBot="1" x14ac:dyDescent="0.35">
      <c r="A1008" s="1" t="s">
        <v>168</v>
      </c>
      <c r="B1008" s="1">
        <v>214</v>
      </c>
      <c r="C1008" s="1" t="s">
        <v>6156</v>
      </c>
      <c r="D1008" s="2" t="s">
        <v>6157</v>
      </c>
      <c r="E1008" s="1" t="s">
        <v>29</v>
      </c>
      <c r="F1008" s="1" t="s">
        <v>14</v>
      </c>
      <c r="G1008" s="1" t="s">
        <v>1631</v>
      </c>
      <c r="H1008" s="1" t="s">
        <v>3388</v>
      </c>
      <c r="I1008" s="1" t="s">
        <v>6158</v>
      </c>
      <c r="J1008" s="2" t="s">
        <v>334</v>
      </c>
      <c r="K1008" s="2" t="s">
        <v>6159</v>
      </c>
      <c r="L1008" s="2" t="s">
        <v>6160</v>
      </c>
      <c r="M1008" s="3" t="str">
        <f>VLOOKUP(G1008,справочник!$B$1:$C$94,2,0)</f>
        <v>МСК</v>
      </c>
    </row>
    <row r="1009" spans="1:13" ht="42" thickBot="1" x14ac:dyDescent="0.35">
      <c r="A1009" s="1" t="s">
        <v>146</v>
      </c>
      <c r="B1009" s="1">
        <v>215</v>
      </c>
      <c r="C1009" s="1" t="s">
        <v>6161</v>
      </c>
      <c r="D1009" s="2" t="s">
        <v>6162</v>
      </c>
      <c r="E1009" s="1" t="s">
        <v>29</v>
      </c>
      <c r="F1009" s="1" t="s">
        <v>14</v>
      </c>
      <c r="G1009" s="1" t="s">
        <v>1631</v>
      </c>
      <c r="H1009" s="1" t="s">
        <v>3388</v>
      </c>
      <c r="I1009" s="1" t="s">
        <v>6163</v>
      </c>
      <c r="J1009" s="2" t="s">
        <v>6164</v>
      </c>
      <c r="K1009" s="2" t="s">
        <v>6165</v>
      </c>
      <c r="L1009" s="2" t="s">
        <v>6166</v>
      </c>
      <c r="M1009" s="3" t="str">
        <f>VLOOKUP(G1009,справочник!$B$1:$C$94,2,0)</f>
        <v>МСК</v>
      </c>
    </row>
    <row r="1010" spans="1:13" ht="42" thickBot="1" x14ac:dyDescent="0.35">
      <c r="A1010" s="1" t="s">
        <v>12</v>
      </c>
      <c r="B1010" s="1">
        <v>918</v>
      </c>
      <c r="C1010" s="1" t="s">
        <v>6167</v>
      </c>
      <c r="D1010" s="2" t="s">
        <v>6168</v>
      </c>
      <c r="E1010" s="1" t="s">
        <v>29</v>
      </c>
      <c r="F1010" s="1" t="s">
        <v>14</v>
      </c>
      <c r="G1010" s="1" t="s">
        <v>1631</v>
      </c>
      <c r="H1010" s="1" t="s">
        <v>3388</v>
      </c>
      <c r="I1010" s="1" t="s">
        <v>6169</v>
      </c>
      <c r="J1010" s="2" t="s">
        <v>6170</v>
      </c>
      <c r="K1010" s="2" t="s">
        <v>6171</v>
      </c>
      <c r="L1010" s="2" t="s">
        <v>6172</v>
      </c>
      <c r="M1010" s="3" t="str">
        <f>VLOOKUP(G1010,справочник!$B$1:$C$94,2,0)</f>
        <v>МСК</v>
      </c>
    </row>
    <row r="1011" spans="1:13" ht="42" thickBot="1" x14ac:dyDescent="0.35">
      <c r="A1011" s="1" t="s">
        <v>177</v>
      </c>
      <c r="B1011" s="1">
        <v>746</v>
      </c>
      <c r="C1011" s="1" t="s">
        <v>6173</v>
      </c>
      <c r="D1011" s="2" t="s">
        <v>6174</v>
      </c>
      <c r="E1011" s="1" t="s">
        <v>29</v>
      </c>
      <c r="F1011" s="1" t="s">
        <v>47</v>
      </c>
      <c r="G1011" s="1" t="s">
        <v>6089</v>
      </c>
      <c r="H1011" s="1" t="s">
        <v>6177</v>
      </c>
      <c r="I1011" s="1" t="s">
        <v>6178</v>
      </c>
      <c r="J1011" s="2" t="s">
        <v>6179</v>
      </c>
      <c r="K1011" s="2" t="s">
        <v>6175</v>
      </c>
      <c r="L1011" s="2" t="s">
        <v>6176</v>
      </c>
      <c r="M1011" s="3" t="str">
        <f>VLOOKUP(G1011,справочник!$B$1:$C$94,2,0)</f>
        <v>МСК+2</v>
      </c>
    </row>
    <row r="1012" spans="1:13" ht="42" thickBot="1" x14ac:dyDescent="0.35">
      <c r="A1012" s="1" t="s">
        <v>131</v>
      </c>
      <c r="B1012" s="1">
        <v>684</v>
      </c>
      <c r="C1012" s="1" t="s">
        <v>6180</v>
      </c>
      <c r="D1012" s="2" t="s">
        <v>6181</v>
      </c>
      <c r="E1012" s="1" t="s">
        <v>29</v>
      </c>
      <c r="F1012" s="1" t="s">
        <v>47</v>
      </c>
      <c r="G1012" s="1" t="s">
        <v>6089</v>
      </c>
      <c r="H1012" s="1" t="s">
        <v>6177</v>
      </c>
      <c r="I1012" s="1" t="s">
        <v>6182</v>
      </c>
      <c r="J1012" s="2" t="s">
        <v>6183</v>
      </c>
      <c r="K1012" s="2" t="s">
        <v>6184</v>
      </c>
      <c r="L1012" s="2" t="s">
        <v>6185</v>
      </c>
      <c r="M1012" s="3" t="str">
        <f>VLOOKUP(G1012,справочник!$B$1:$C$94,2,0)</f>
        <v>МСК+2</v>
      </c>
    </row>
    <row r="1013" spans="1:13" ht="42" thickBot="1" x14ac:dyDescent="0.35">
      <c r="A1013" s="1" t="s">
        <v>146</v>
      </c>
      <c r="B1013" s="1">
        <v>219</v>
      </c>
      <c r="C1013" s="1" t="s">
        <v>6186</v>
      </c>
      <c r="D1013" s="2" t="s">
        <v>6187</v>
      </c>
      <c r="E1013" s="1" t="s">
        <v>29</v>
      </c>
      <c r="F1013" s="1" t="s">
        <v>47</v>
      </c>
      <c r="G1013" s="1" t="s">
        <v>6089</v>
      </c>
      <c r="H1013" s="1" t="s">
        <v>6177</v>
      </c>
      <c r="I1013" s="1" t="s">
        <v>6188</v>
      </c>
      <c r="J1013" s="2" t="s">
        <v>5808</v>
      </c>
      <c r="K1013" s="2" t="s">
        <v>6189</v>
      </c>
      <c r="L1013" s="2" t="s">
        <v>6190</v>
      </c>
      <c r="M1013" s="3" t="str">
        <f>VLOOKUP(G1013,справочник!$B$1:$C$94,2,0)</f>
        <v>МСК+2</v>
      </c>
    </row>
    <row r="1014" spans="1:13" ht="42" thickBot="1" x14ac:dyDescent="0.35">
      <c r="A1014" s="1" t="s">
        <v>146</v>
      </c>
      <c r="B1014" s="1">
        <v>218</v>
      </c>
      <c r="C1014" s="1" t="s">
        <v>6191</v>
      </c>
      <c r="D1014" s="2" t="s">
        <v>6192</v>
      </c>
      <c r="E1014" s="1" t="s">
        <v>29</v>
      </c>
      <c r="F1014" s="1" t="s">
        <v>47</v>
      </c>
      <c r="G1014" s="1" t="s">
        <v>6089</v>
      </c>
      <c r="H1014" s="1" t="s">
        <v>6177</v>
      </c>
      <c r="I1014" s="1" t="s">
        <v>6193</v>
      </c>
      <c r="J1014" s="2" t="s">
        <v>6194</v>
      </c>
      <c r="K1014" s="2" t="s">
        <v>6195</v>
      </c>
      <c r="L1014" s="2" t="s">
        <v>6196</v>
      </c>
      <c r="M1014" s="3" t="str">
        <f>VLOOKUP(G1014,справочник!$B$1:$C$94,2,0)</f>
        <v>МСК+2</v>
      </c>
    </row>
    <row r="1015" spans="1:13" ht="42" thickBot="1" x14ac:dyDescent="0.35">
      <c r="A1015" s="1" t="s">
        <v>261</v>
      </c>
      <c r="B1015" s="1">
        <v>804</v>
      </c>
      <c r="C1015" s="1" t="s">
        <v>6197</v>
      </c>
      <c r="D1015" s="2" t="s">
        <v>6198</v>
      </c>
      <c r="E1015" s="1" t="s">
        <v>29</v>
      </c>
      <c r="F1015" s="1" t="s">
        <v>222</v>
      </c>
      <c r="G1015" s="1" t="s">
        <v>1160</v>
      </c>
      <c r="H1015" s="1" t="s">
        <v>1685</v>
      </c>
      <c r="I1015" s="1" t="s">
        <v>6199</v>
      </c>
      <c r="J1015" s="2" t="s">
        <v>6200</v>
      </c>
      <c r="K1015" s="2" t="s">
        <v>6201</v>
      </c>
      <c r="L1015" s="2" t="s">
        <v>6202</v>
      </c>
      <c r="M1015" s="3" t="str">
        <f>VLOOKUP(G1015,справочник!$B$1:$C$94,2,0)</f>
        <v>МСК+1</v>
      </c>
    </row>
    <row r="1016" spans="1:13" ht="42" thickBot="1" x14ac:dyDescent="0.35">
      <c r="A1016" s="1" t="s">
        <v>146</v>
      </c>
      <c r="B1016" s="1">
        <v>220</v>
      </c>
      <c r="C1016" s="1" t="s">
        <v>6203</v>
      </c>
      <c r="D1016" s="2" t="s">
        <v>6204</v>
      </c>
      <c r="E1016" s="1" t="s">
        <v>29</v>
      </c>
      <c r="F1016" s="1" t="s">
        <v>222</v>
      </c>
      <c r="G1016" s="1" t="s">
        <v>1160</v>
      </c>
      <c r="H1016" s="1" t="s">
        <v>1685</v>
      </c>
      <c r="I1016" s="1" t="s">
        <v>6206</v>
      </c>
      <c r="J1016" s="2" t="s">
        <v>6207</v>
      </c>
      <c r="K1016" s="2" t="s">
        <v>6208</v>
      </c>
      <c r="L1016" s="2" t="s">
        <v>6205</v>
      </c>
      <c r="M1016" s="3" t="str">
        <f>VLOOKUP(G1016,справочник!$B$1:$C$94,2,0)</f>
        <v>МСК+1</v>
      </c>
    </row>
    <row r="1017" spans="1:13" ht="42" thickBot="1" x14ac:dyDescent="0.35">
      <c r="A1017" s="1" t="s">
        <v>146</v>
      </c>
      <c r="B1017" s="1">
        <v>2174</v>
      </c>
      <c r="C1017" s="1" t="s">
        <v>6209</v>
      </c>
      <c r="D1017" s="2" t="s">
        <v>6210</v>
      </c>
      <c r="E1017" s="1" t="s">
        <v>20</v>
      </c>
      <c r="F1017" s="1" t="s">
        <v>222</v>
      </c>
      <c r="G1017" s="1" t="s">
        <v>1160</v>
      </c>
      <c r="H1017" s="1" t="s">
        <v>1685</v>
      </c>
      <c r="I1017" s="1" t="s">
        <v>6212</v>
      </c>
      <c r="J1017" s="2" t="s">
        <v>6213</v>
      </c>
      <c r="K1017" s="2" t="s">
        <v>6214</v>
      </c>
      <c r="L1017" s="2" t="s">
        <v>6211</v>
      </c>
      <c r="M1017" s="3" t="str">
        <f>VLOOKUP(G1017,справочник!$B$1:$C$94,2,0)</f>
        <v>МСК+1</v>
      </c>
    </row>
    <row r="1018" spans="1:13" ht="42" thickBot="1" x14ac:dyDescent="0.35">
      <c r="A1018" s="1" t="s">
        <v>261</v>
      </c>
      <c r="B1018" s="1">
        <v>812</v>
      </c>
      <c r="C1018" s="1" t="s">
        <v>6215</v>
      </c>
      <c r="D1018" s="2" t="s">
        <v>6216</v>
      </c>
      <c r="E1018" s="1" t="s">
        <v>29</v>
      </c>
      <c r="F1018" s="1" t="s">
        <v>222</v>
      </c>
      <c r="G1018" s="1" t="s">
        <v>6217</v>
      </c>
      <c r="H1018" s="1" t="s">
        <v>6219</v>
      </c>
      <c r="I1018" s="1" t="s">
        <v>6220</v>
      </c>
      <c r="J1018" s="2" t="s">
        <v>6221</v>
      </c>
      <c r="K1018" s="2" t="s">
        <v>6222</v>
      </c>
      <c r="L1018" s="2" t="s">
        <v>6218</v>
      </c>
      <c r="M1018" s="3" t="str">
        <f>VLOOKUP(G1018,справочник!$B$1:$C$94,2,0)</f>
        <v>МСК+1</v>
      </c>
    </row>
    <row r="1019" spans="1:13" ht="42" thickBot="1" x14ac:dyDescent="0.35">
      <c r="A1019" s="1" t="s">
        <v>168</v>
      </c>
      <c r="B1019" s="1">
        <v>221</v>
      </c>
      <c r="C1019" s="1" t="s">
        <v>6223</v>
      </c>
      <c r="D1019" s="2" t="s">
        <v>6224</v>
      </c>
      <c r="E1019" s="1" t="s">
        <v>29</v>
      </c>
      <c r="F1019" s="1" t="s">
        <v>222</v>
      </c>
      <c r="G1019" s="1" t="s">
        <v>6217</v>
      </c>
      <c r="H1019" s="1" t="s">
        <v>6219</v>
      </c>
      <c r="I1019" s="1" t="s">
        <v>6226</v>
      </c>
      <c r="J1019" s="2" t="s">
        <v>6227</v>
      </c>
      <c r="K1019" s="2" t="s">
        <v>6228</v>
      </c>
      <c r="L1019" s="2" t="s">
        <v>6225</v>
      </c>
      <c r="M1019" s="3" t="str">
        <f>VLOOKUP(G1019,справочник!$B$1:$C$94,2,0)</f>
        <v>МСК+1</v>
      </c>
    </row>
    <row r="1020" spans="1:13" ht="42" thickBot="1" x14ac:dyDescent="0.35">
      <c r="A1020" s="1" t="s">
        <v>146</v>
      </c>
      <c r="B1020" s="1">
        <v>222</v>
      </c>
      <c r="C1020" s="1" t="s">
        <v>6229</v>
      </c>
      <c r="D1020" s="2" t="s">
        <v>6230</v>
      </c>
      <c r="E1020" s="1" t="s">
        <v>29</v>
      </c>
      <c r="F1020" s="1" t="s">
        <v>222</v>
      </c>
      <c r="G1020" s="1" t="s">
        <v>6217</v>
      </c>
      <c r="H1020" s="1" t="s">
        <v>6219</v>
      </c>
      <c r="I1020" s="1" t="s">
        <v>6231</v>
      </c>
      <c r="J1020" s="2" t="s">
        <v>1656</v>
      </c>
      <c r="K1020" s="2" t="s">
        <v>6232</v>
      </c>
      <c r="L1020" s="2" t="s">
        <v>6233</v>
      </c>
      <c r="M1020" s="3" t="str">
        <f>VLOOKUP(G1020,справочник!$B$1:$C$94,2,0)</f>
        <v>МСК+1</v>
      </c>
    </row>
    <row r="1021" spans="1:13" ht="42" thickBot="1" x14ac:dyDescent="0.35">
      <c r="A1021" s="1" t="s">
        <v>146</v>
      </c>
      <c r="B1021" s="1">
        <v>223</v>
      </c>
      <c r="C1021" s="1" t="s">
        <v>6234</v>
      </c>
      <c r="D1021" s="2" t="s">
        <v>6235</v>
      </c>
      <c r="E1021" s="1" t="s">
        <v>29</v>
      </c>
      <c r="F1021" s="1" t="s">
        <v>222</v>
      </c>
      <c r="G1021" s="1" t="s">
        <v>6217</v>
      </c>
      <c r="H1021" s="1" t="s">
        <v>6219</v>
      </c>
      <c r="I1021" s="1" t="s">
        <v>6236</v>
      </c>
      <c r="J1021" s="2" t="s">
        <v>1494</v>
      </c>
      <c r="K1021" s="2" t="s">
        <v>6237</v>
      </c>
      <c r="L1021" s="2" t="s">
        <v>6238</v>
      </c>
      <c r="M1021" s="3" t="str">
        <f>VLOOKUP(G1021,справочник!$B$1:$C$94,2,0)</f>
        <v>МСК+1</v>
      </c>
    </row>
    <row r="1022" spans="1:13" ht="42" thickBot="1" x14ac:dyDescent="0.35">
      <c r="A1022" s="1" t="s">
        <v>3608</v>
      </c>
      <c r="B1022" s="1">
        <v>919</v>
      </c>
      <c r="C1022" s="1" t="s">
        <v>6239</v>
      </c>
      <c r="D1022" s="2" t="s">
        <v>6240</v>
      </c>
      <c r="E1022" s="1" t="s">
        <v>29</v>
      </c>
      <c r="F1022" s="1" t="s">
        <v>222</v>
      </c>
      <c r="G1022" s="1" t="s">
        <v>6217</v>
      </c>
      <c r="H1022" s="1" t="s">
        <v>6219</v>
      </c>
      <c r="I1022" s="1" t="s">
        <v>6241</v>
      </c>
      <c r="J1022" s="2" t="s">
        <v>6242</v>
      </c>
      <c r="K1022" s="2" t="s">
        <v>6243</v>
      </c>
      <c r="L1022" s="2" t="s">
        <v>6244</v>
      </c>
      <c r="M1022" s="3" t="str">
        <f>VLOOKUP(G1022,справочник!$B$1:$C$94,2,0)</f>
        <v>МСК+1</v>
      </c>
    </row>
    <row r="1023" spans="1:13" ht="28.2" thickBot="1" x14ac:dyDescent="0.35">
      <c r="A1023" s="1" t="s">
        <v>12</v>
      </c>
      <c r="B1023" s="1">
        <v>3961</v>
      </c>
      <c r="C1023" s="1" t="s">
        <v>6245</v>
      </c>
      <c r="D1023" s="2" t="s">
        <v>6246</v>
      </c>
      <c r="E1023" s="1" t="s">
        <v>29</v>
      </c>
      <c r="F1023" s="1" t="s">
        <v>14</v>
      </c>
      <c r="G1023" s="1" t="s">
        <v>15</v>
      </c>
      <c r="H1023" s="1" t="s">
        <v>16</v>
      </c>
      <c r="I1023" s="1" t="s">
        <v>6247</v>
      </c>
      <c r="J1023" s="2" t="s">
        <v>6248</v>
      </c>
      <c r="K1023" s="2" t="s">
        <v>6249</v>
      </c>
      <c r="L1023" s="2" t="s">
        <v>6250</v>
      </c>
      <c r="M1023" s="3" t="str">
        <f>VLOOKUP(G1023,справочник!$B$1:$C$94,2,0)</f>
        <v>МСК</v>
      </c>
    </row>
    <row r="1024" spans="1:13" ht="42" thickBot="1" x14ac:dyDescent="0.35">
      <c r="A1024" s="1" t="s">
        <v>146</v>
      </c>
      <c r="B1024" s="1">
        <v>3333</v>
      </c>
      <c r="C1024" s="1" t="s">
        <v>6251</v>
      </c>
      <c r="D1024" s="2" t="s">
        <v>6252</v>
      </c>
      <c r="E1024" s="1" t="s">
        <v>29</v>
      </c>
      <c r="F1024" s="1" t="s">
        <v>14</v>
      </c>
      <c r="G1024" s="1" t="s">
        <v>43</v>
      </c>
      <c r="H1024" s="1" t="s">
        <v>6253</v>
      </c>
      <c r="I1024" s="1" t="s">
        <v>6254</v>
      </c>
      <c r="J1024" s="2" t="s">
        <v>6255</v>
      </c>
      <c r="K1024" s="2" t="s">
        <v>6256</v>
      </c>
      <c r="L1024" s="2" t="s">
        <v>6257</v>
      </c>
      <c r="M1024" s="3" t="str">
        <f>VLOOKUP(G1024,справочник!$B$1:$C$94,2,0)</f>
        <v>МСК</v>
      </c>
    </row>
    <row r="1025" spans="1:13" ht="28.2" thickBot="1" x14ac:dyDescent="0.35">
      <c r="A1025" s="1" t="s">
        <v>12</v>
      </c>
      <c r="B1025" s="1">
        <v>3385</v>
      </c>
      <c r="C1025" s="1" t="s">
        <v>6258</v>
      </c>
      <c r="D1025" s="2" t="s">
        <v>6259</v>
      </c>
      <c r="E1025" s="1" t="s">
        <v>29</v>
      </c>
      <c r="F1025" s="1" t="s">
        <v>30</v>
      </c>
      <c r="G1025" s="1" t="s">
        <v>31</v>
      </c>
      <c r="H1025" s="1" t="s">
        <v>31</v>
      </c>
      <c r="I1025" s="1" t="s">
        <v>6260</v>
      </c>
      <c r="J1025" s="2" t="s">
        <v>6261</v>
      </c>
      <c r="K1025" s="2" t="s">
        <v>6262</v>
      </c>
      <c r="L1025" s="2" t="s">
        <v>6263</v>
      </c>
      <c r="M1025" s="3" t="str">
        <f>VLOOKUP(G1025,справочник!$B$1:$C$94,2,0)</f>
        <v>МСК</v>
      </c>
    </row>
    <row r="1026" spans="1:13" ht="28.2" thickBot="1" x14ac:dyDescent="0.35">
      <c r="A1026" s="1" t="s">
        <v>12</v>
      </c>
      <c r="B1026" s="1">
        <v>7627</v>
      </c>
      <c r="C1026" s="1" t="s">
        <v>6264</v>
      </c>
      <c r="D1026" s="2" t="s">
        <v>6265</v>
      </c>
      <c r="E1026" s="1" t="s">
        <v>29</v>
      </c>
      <c r="F1026" s="1" t="s">
        <v>14</v>
      </c>
      <c r="G1026" s="1" t="s">
        <v>15</v>
      </c>
      <c r="H1026" s="1" t="s">
        <v>16</v>
      </c>
      <c r="I1026" s="1" t="s">
        <v>1922</v>
      </c>
      <c r="J1026" s="2" t="s">
        <v>6266</v>
      </c>
      <c r="K1026" s="2" t="s">
        <v>6267</v>
      </c>
      <c r="L1026" s="2" t="s">
        <v>6268</v>
      </c>
      <c r="M1026" s="3" t="str">
        <f>VLOOKUP(G1026,справочник!$B$1:$C$94,2,0)</f>
        <v>МСК</v>
      </c>
    </row>
    <row r="1027" spans="1:13" ht="28.2" thickBot="1" x14ac:dyDescent="0.35">
      <c r="A1027" s="1" t="s">
        <v>12</v>
      </c>
      <c r="B1027" s="1">
        <v>2906</v>
      </c>
      <c r="C1027" s="1" t="s">
        <v>6269</v>
      </c>
      <c r="D1027" s="2" t="s">
        <v>6270</v>
      </c>
      <c r="E1027" s="1" t="s">
        <v>29</v>
      </c>
      <c r="F1027" s="1" t="s">
        <v>222</v>
      </c>
      <c r="G1027" s="1" t="s">
        <v>223</v>
      </c>
      <c r="H1027" s="1" t="s">
        <v>6271</v>
      </c>
      <c r="I1027" s="1" t="s">
        <v>6272</v>
      </c>
      <c r="J1027" s="2" t="s">
        <v>6273</v>
      </c>
      <c r="K1027" s="2" t="s">
        <v>6274</v>
      </c>
      <c r="L1027" s="2" t="s">
        <v>6275</v>
      </c>
      <c r="M1027" s="3" t="str">
        <f>VLOOKUP(G1027,справочник!$B$1:$C$94,2,0)</f>
        <v>МСК</v>
      </c>
    </row>
    <row r="1028" spans="1:13" ht="28.2" thickBot="1" x14ac:dyDescent="0.35">
      <c r="A1028" s="1" t="s">
        <v>12</v>
      </c>
      <c r="B1028" s="1">
        <v>7559</v>
      </c>
      <c r="C1028" s="1" t="s">
        <v>6276</v>
      </c>
      <c r="D1028" s="2" t="s">
        <v>6277</v>
      </c>
      <c r="E1028" s="1" t="s">
        <v>29</v>
      </c>
      <c r="F1028" s="1" t="s">
        <v>14</v>
      </c>
      <c r="G1028" s="1" t="s">
        <v>15</v>
      </c>
      <c r="H1028" s="1" t="s">
        <v>16</v>
      </c>
      <c r="I1028" s="1" t="s">
        <v>6278</v>
      </c>
      <c r="J1028" s="2" t="s">
        <v>6279</v>
      </c>
      <c r="K1028" s="2" t="s">
        <v>6280</v>
      </c>
      <c r="L1028" s="2" t="s">
        <v>6281</v>
      </c>
      <c r="M1028" s="3" t="str">
        <f>VLOOKUP(G1028,справочник!$B$1:$C$94,2,0)</f>
        <v>МСК</v>
      </c>
    </row>
    <row r="1029" spans="1:13" ht="28.2" thickBot="1" x14ac:dyDescent="0.35">
      <c r="A1029" s="1" t="s">
        <v>12</v>
      </c>
      <c r="B1029" s="1">
        <v>1508</v>
      </c>
      <c r="C1029" s="1" t="s">
        <v>6282</v>
      </c>
      <c r="D1029" s="2" t="s">
        <v>6283</v>
      </c>
      <c r="E1029" s="1" t="s">
        <v>29</v>
      </c>
      <c r="F1029" s="1" t="s">
        <v>14</v>
      </c>
      <c r="G1029" s="1" t="s">
        <v>15</v>
      </c>
      <c r="H1029" s="1" t="s">
        <v>16</v>
      </c>
      <c r="I1029" s="1" t="s">
        <v>6284</v>
      </c>
      <c r="J1029" s="2" t="s">
        <v>3396</v>
      </c>
      <c r="K1029" s="2" t="s">
        <v>6285</v>
      </c>
      <c r="L1029" s="2" t="s">
        <v>6286</v>
      </c>
      <c r="M1029" s="3" t="str">
        <f>VLOOKUP(G1029,справочник!$B$1:$C$94,2,0)</f>
        <v>МСК</v>
      </c>
    </row>
    <row r="1030" spans="1:13" ht="42" thickBot="1" x14ac:dyDescent="0.35">
      <c r="A1030" s="1" t="s">
        <v>12</v>
      </c>
      <c r="B1030" s="1">
        <v>3149</v>
      </c>
      <c r="C1030" s="1" t="s">
        <v>6287</v>
      </c>
      <c r="D1030" s="2" t="s">
        <v>6288</v>
      </c>
      <c r="E1030" s="1" t="s">
        <v>29</v>
      </c>
      <c r="F1030" s="1" t="s">
        <v>30</v>
      </c>
      <c r="G1030" s="1" t="s">
        <v>31</v>
      </c>
      <c r="H1030" s="1" t="s">
        <v>32</v>
      </c>
      <c r="I1030" s="1" t="s">
        <v>6289</v>
      </c>
      <c r="J1030" s="2" t="s">
        <v>6290</v>
      </c>
      <c r="K1030" s="2" t="s">
        <v>6291</v>
      </c>
      <c r="L1030" s="2" t="s">
        <v>6292</v>
      </c>
      <c r="M1030" s="3" t="str">
        <f>VLOOKUP(G1030,справочник!$B$1:$C$94,2,0)</f>
        <v>МСК</v>
      </c>
    </row>
    <row r="1031" spans="1:13" ht="42" thickBot="1" x14ac:dyDescent="0.35">
      <c r="A1031" s="1" t="s">
        <v>12</v>
      </c>
      <c r="B1031" s="1">
        <v>1420</v>
      </c>
      <c r="C1031" s="1" t="s">
        <v>6293</v>
      </c>
      <c r="D1031" s="2" t="s">
        <v>6294</v>
      </c>
      <c r="E1031" s="1" t="s">
        <v>29</v>
      </c>
      <c r="F1031" s="1" t="s">
        <v>222</v>
      </c>
      <c r="G1031" s="1" t="s">
        <v>223</v>
      </c>
      <c r="H1031" s="1" t="s">
        <v>224</v>
      </c>
      <c r="I1031" s="1" t="s">
        <v>6296</v>
      </c>
      <c r="J1031" s="2" t="s">
        <v>3098</v>
      </c>
      <c r="K1031" s="2" t="s">
        <v>6297</v>
      </c>
      <c r="L1031" s="2" t="s">
        <v>6295</v>
      </c>
      <c r="M1031" s="3" t="str">
        <f>VLOOKUP(G1031,справочник!$B$1:$C$94,2,0)</f>
        <v>МСК</v>
      </c>
    </row>
    <row r="1032" spans="1:13" ht="28.2" thickBot="1" x14ac:dyDescent="0.35">
      <c r="A1032" s="1" t="s">
        <v>12</v>
      </c>
      <c r="B1032" s="1">
        <v>7630</v>
      </c>
      <c r="C1032" s="1" t="s">
        <v>6298</v>
      </c>
      <c r="D1032" s="2" t="s">
        <v>6299</v>
      </c>
      <c r="E1032" s="1" t="s">
        <v>29</v>
      </c>
      <c r="F1032" s="1" t="s">
        <v>14</v>
      </c>
      <c r="G1032" s="1" t="s">
        <v>15</v>
      </c>
      <c r="H1032" s="1" t="s">
        <v>16</v>
      </c>
      <c r="I1032" s="1" t="s">
        <v>1922</v>
      </c>
      <c r="J1032" s="2" t="s">
        <v>5039</v>
      </c>
      <c r="K1032" s="2" t="s">
        <v>1924</v>
      </c>
      <c r="L1032" s="2" t="s">
        <v>6300</v>
      </c>
      <c r="M1032" s="3" t="str">
        <f>VLOOKUP(G1032,справочник!$B$1:$C$94,2,0)</f>
        <v>МСК</v>
      </c>
    </row>
    <row r="1033" spans="1:13" ht="28.2" thickBot="1" x14ac:dyDescent="0.35">
      <c r="A1033" s="1" t="s">
        <v>12</v>
      </c>
      <c r="B1033" s="1">
        <v>3154</v>
      </c>
      <c r="C1033" s="1" t="s">
        <v>6301</v>
      </c>
      <c r="D1033" s="2" t="s">
        <v>6302</v>
      </c>
      <c r="E1033" s="1" t="s">
        <v>29</v>
      </c>
      <c r="F1033" s="1" t="s">
        <v>21</v>
      </c>
      <c r="G1033" s="1" t="s">
        <v>1043</v>
      </c>
      <c r="H1033" s="1" t="s">
        <v>3116</v>
      </c>
      <c r="I1033" s="1" t="s">
        <v>6304</v>
      </c>
      <c r="J1033" s="2" t="s">
        <v>6305</v>
      </c>
      <c r="K1033" s="2" t="s">
        <v>6306</v>
      </c>
      <c r="L1033" s="2" t="s">
        <v>6303</v>
      </c>
      <c r="M1033" s="3" t="str">
        <f>VLOOKUP(G1033,справочник!$B$1:$C$94,2,0)</f>
        <v>МСК</v>
      </c>
    </row>
    <row r="1034" spans="1:13" ht="42" thickBot="1" x14ac:dyDescent="0.35">
      <c r="A1034" s="1" t="s">
        <v>177</v>
      </c>
      <c r="B1034" s="1">
        <v>1527</v>
      </c>
      <c r="C1034" s="1" t="s">
        <v>6307</v>
      </c>
      <c r="D1034" s="2" t="s">
        <v>6308</v>
      </c>
      <c r="E1034" s="1" t="s">
        <v>29</v>
      </c>
      <c r="F1034" s="1" t="s">
        <v>47</v>
      </c>
      <c r="G1034" s="1" t="s">
        <v>48</v>
      </c>
      <c r="H1034" s="1" t="s">
        <v>49</v>
      </c>
      <c r="I1034" s="1" t="s">
        <v>6309</v>
      </c>
      <c r="J1034" s="2" t="s">
        <v>6310</v>
      </c>
      <c r="K1034" s="2" t="s">
        <v>6311</v>
      </c>
      <c r="L1034" s="2" t="s">
        <v>6312</v>
      </c>
      <c r="M1034" s="3" t="str">
        <f>VLOOKUP(G1034,справочник!$B$1:$C$94,2,0)</f>
        <v>МСК+2</v>
      </c>
    </row>
    <row r="1035" spans="1:13" ht="42" thickBot="1" x14ac:dyDescent="0.35">
      <c r="A1035" s="1" t="s">
        <v>261</v>
      </c>
      <c r="B1035" s="1">
        <v>485</v>
      </c>
      <c r="C1035" s="1" t="s">
        <v>6313</v>
      </c>
      <c r="D1035" s="2" t="s">
        <v>6314</v>
      </c>
      <c r="E1035" s="1" t="s">
        <v>29</v>
      </c>
      <c r="F1035" s="1" t="s">
        <v>47</v>
      </c>
      <c r="G1035" s="1" t="s">
        <v>48</v>
      </c>
      <c r="H1035" s="1" t="s">
        <v>6315</v>
      </c>
      <c r="I1035" s="1" t="s">
        <v>6316</v>
      </c>
      <c r="J1035" s="2" t="s">
        <v>6317</v>
      </c>
      <c r="K1035" s="2" t="s">
        <v>6318</v>
      </c>
      <c r="L1035" s="2" t="s">
        <v>6319</v>
      </c>
      <c r="M1035" s="3" t="str">
        <f>VLOOKUP(G1035,справочник!$B$1:$C$94,2,0)</f>
        <v>МСК+2</v>
      </c>
    </row>
    <row r="1036" spans="1:13" ht="42" thickBot="1" x14ac:dyDescent="0.35">
      <c r="A1036" s="1" t="s">
        <v>146</v>
      </c>
      <c r="B1036" s="1">
        <v>224</v>
      </c>
      <c r="C1036" s="1" t="s">
        <v>6320</v>
      </c>
      <c r="D1036" s="2" t="s">
        <v>6321</v>
      </c>
      <c r="E1036" s="1" t="s">
        <v>29</v>
      </c>
      <c r="F1036" s="1" t="s">
        <v>47</v>
      </c>
      <c r="G1036" s="1" t="s">
        <v>48</v>
      </c>
      <c r="H1036" s="1" t="s">
        <v>49</v>
      </c>
      <c r="I1036" s="1" t="s">
        <v>6322</v>
      </c>
      <c r="J1036" s="2" t="s">
        <v>6323</v>
      </c>
      <c r="K1036" s="2" t="s">
        <v>6324</v>
      </c>
      <c r="L1036" s="2" t="s">
        <v>6325</v>
      </c>
      <c r="M1036" s="3" t="str">
        <f>VLOOKUP(G1036,справочник!$B$1:$C$94,2,0)</f>
        <v>МСК+2</v>
      </c>
    </row>
    <row r="1037" spans="1:13" ht="42" thickBot="1" x14ac:dyDescent="0.35">
      <c r="A1037" s="1" t="s">
        <v>146</v>
      </c>
      <c r="B1037" s="1">
        <v>226</v>
      </c>
      <c r="C1037" s="1" t="s">
        <v>6326</v>
      </c>
      <c r="D1037" s="2" t="s">
        <v>6327</v>
      </c>
      <c r="E1037" s="1" t="s">
        <v>29</v>
      </c>
      <c r="F1037" s="1" t="s">
        <v>47</v>
      </c>
      <c r="G1037" s="1" t="s">
        <v>48</v>
      </c>
      <c r="H1037" s="1" t="s">
        <v>49</v>
      </c>
      <c r="I1037" s="1" t="s">
        <v>6328</v>
      </c>
      <c r="J1037" s="2" t="s">
        <v>6329</v>
      </c>
      <c r="K1037" s="2" t="s">
        <v>6330</v>
      </c>
      <c r="L1037" s="2" t="s">
        <v>6331</v>
      </c>
      <c r="M1037" s="3" t="str">
        <f>VLOOKUP(G1037,справочник!$B$1:$C$94,2,0)</f>
        <v>МСК+2</v>
      </c>
    </row>
    <row r="1038" spans="1:13" ht="42" thickBot="1" x14ac:dyDescent="0.35">
      <c r="A1038" s="1" t="s">
        <v>146</v>
      </c>
      <c r="B1038" s="1">
        <v>227</v>
      </c>
      <c r="C1038" s="1" t="s">
        <v>6332</v>
      </c>
      <c r="D1038" s="2" t="s">
        <v>6333</v>
      </c>
      <c r="E1038" s="1" t="s">
        <v>29</v>
      </c>
      <c r="F1038" s="1" t="s">
        <v>47</v>
      </c>
      <c r="G1038" s="1" t="s">
        <v>48</v>
      </c>
      <c r="H1038" s="1" t="s">
        <v>49</v>
      </c>
      <c r="I1038" s="1" t="s">
        <v>6334</v>
      </c>
      <c r="J1038" s="2" t="s">
        <v>6335</v>
      </c>
      <c r="K1038" s="2" t="s">
        <v>6336</v>
      </c>
      <c r="L1038" s="2" t="s">
        <v>6337</v>
      </c>
      <c r="M1038" s="3" t="str">
        <f>VLOOKUP(G1038,справочник!$B$1:$C$94,2,0)</f>
        <v>МСК+2</v>
      </c>
    </row>
    <row r="1039" spans="1:13" ht="42" thickBot="1" x14ac:dyDescent="0.35">
      <c r="A1039" s="1" t="s">
        <v>131</v>
      </c>
      <c r="B1039" s="1">
        <v>666</v>
      </c>
      <c r="C1039" s="1" t="s">
        <v>6338</v>
      </c>
      <c r="D1039" s="2" t="s">
        <v>6339</v>
      </c>
      <c r="E1039" s="1" t="s">
        <v>29</v>
      </c>
      <c r="F1039" s="1" t="s">
        <v>47</v>
      </c>
      <c r="G1039" s="1" t="s">
        <v>48</v>
      </c>
      <c r="H1039" s="1" t="s">
        <v>49</v>
      </c>
      <c r="I1039" s="1" t="s">
        <v>6340</v>
      </c>
      <c r="J1039" s="2" t="s">
        <v>6341</v>
      </c>
      <c r="K1039" s="2" t="s">
        <v>6342</v>
      </c>
      <c r="L1039" s="2" t="s">
        <v>6343</v>
      </c>
      <c r="M1039" s="3" t="str">
        <f>VLOOKUP(G1039,справочник!$B$1:$C$94,2,0)</f>
        <v>МСК+2</v>
      </c>
    </row>
    <row r="1040" spans="1:13" ht="28.2" thickBot="1" x14ac:dyDescent="0.35">
      <c r="A1040" s="1" t="s">
        <v>168</v>
      </c>
      <c r="B1040" s="1">
        <v>228</v>
      </c>
      <c r="C1040" s="1" t="s">
        <v>6344</v>
      </c>
      <c r="D1040" s="2" t="s">
        <v>6345</v>
      </c>
      <c r="E1040" s="1" t="s">
        <v>29</v>
      </c>
      <c r="F1040" s="1" t="s">
        <v>47</v>
      </c>
      <c r="G1040" s="1" t="s">
        <v>48</v>
      </c>
      <c r="H1040" s="1" t="s">
        <v>49</v>
      </c>
      <c r="I1040" s="1" t="s">
        <v>6347</v>
      </c>
      <c r="J1040" s="2" t="s">
        <v>467</v>
      </c>
      <c r="K1040" s="2" t="s">
        <v>6348</v>
      </c>
      <c r="L1040" s="2" t="s">
        <v>6346</v>
      </c>
      <c r="M1040" s="3" t="str">
        <f>VLOOKUP(G1040,справочник!$B$1:$C$94,2,0)</f>
        <v>МСК+2</v>
      </c>
    </row>
    <row r="1041" spans="1:13" ht="42" thickBot="1" x14ac:dyDescent="0.35">
      <c r="A1041" s="1" t="s">
        <v>1443</v>
      </c>
      <c r="B1041" s="1">
        <v>486</v>
      </c>
      <c r="C1041" s="1" t="s">
        <v>6349</v>
      </c>
      <c r="D1041" s="2" t="s">
        <v>6350</v>
      </c>
      <c r="E1041" s="1" t="s">
        <v>29</v>
      </c>
      <c r="F1041" s="1" t="s">
        <v>47</v>
      </c>
      <c r="G1041" s="1" t="s">
        <v>48</v>
      </c>
      <c r="H1041" s="1" t="s">
        <v>49</v>
      </c>
      <c r="I1041" s="1" t="s">
        <v>6351</v>
      </c>
      <c r="J1041" s="2" t="s">
        <v>6352</v>
      </c>
      <c r="K1041" s="2" t="s">
        <v>6353</v>
      </c>
      <c r="L1041" s="2" t="s">
        <v>6354</v>
      </c>
      <c r="M1041" s="3" t="str">
        <f>VLOOKUP(G1041,справочник!$B$1:$C$94,2,0)</f>
        <v>МСК+2</v>
      </c>
    </row>
    <row r="1042" spans="1:13" ht="42" thickBot="1" x14ac:dyDescent="0.35">
      <c r="A1042" s="1" t="s">
        <v>621</v>
      </c>
      <c r="B1042" s="1">
        <v>927</v>
      </c>
      <c r="C1042" s="1" t="s">
        <v>6355</v>
      </c>
      <c r="D1042" s="2" t="s">
        <v>6356</v>
      </c>
      <c r="E1042" s="1" t="s">
        <v>29</v>
      </c>
      <c r="F1042" s="1" t="s">
        <v>47</v>
      </c>
      <c r="G1042" s="1" t="s">
        <v>125</v>
      </c>
      <c r="H1042" s="1" t="s">
        <v>126</v>
      </c>
      <c r="I1042" s="1" t="s">
        <v>6357</v>
      </c>
      <c r="J1042" s="2" t="s">
        <v>6358</v>
      </c>
      <c r="K1042" s="2" t="s">
        <v>6359</v>
      </c>
      <c r="L1042" s="2" t="s">
        <v>6360</v>
      </c>
      <c r="M1042" s="3" t="str">
        <f>VLOOKUP(G1042,справочник!$B$1:$C$94,2,0)</f>
        <v>МСК+2</v>
      </c>
    </row>
    <row r="1043" spans="1:13" ht="42" thickBot="1" x14ac:dyDescent="0.35">
      <c r="A1043" s="1" t="s">
        <v>146</v>
      </c>
      <c r="B1043" s="1">
        <v>230</v>
      </c>
      <c r="C1043" s="1" t="s">
        <v>6361</v>
      </c>
      <c r="D1043" s="2" t="s">
        <v>6362</v>
      </c>
      <c r="E1043" s="1" t="s">
        <v>29</v>
      </c>
      <c r="F1043" s="1" t="s">
        <v>47</v>
      </c>
      <c r="G1043" s="1" t="s">
        <v>48</v>
      </c>
      <c r="H1043" s="1" t="s">
        <v>49</v>
      </c>
      <c r="I1043" s="1" t="s">
        <v>6363</v>
      </c>
      <c r="J1043" s="2" t="s">
        <v>6364</v>
      </c>
      <c r="K1043" s="2" t="s">
        <v>6365</v>
      </c>
      <c r="L1043" s="2" t="s">
        <v>6366</v>
      </c>
      <c r="M1043" s="3" t="str">
        <f>VLOOKUP(G1043,справочник!$B$1:$C$94,2,0)</f>
        <v>МСК+2</v>
      </c>
    </row>
    <row r="1044" spans="1:13" ht="42" thickBot="1" x14ac:dyDescent="0.35">
      <c r="A1044" s="1" t="s">
        <v>146</v>
      </c>
      <c r="B1044" s="1">
        <v>225</v>
      </c>
      <c r="C1044" s="1" t="s">
        <v>6367</v>
      </c>
      <c r="D1044" s="2" t="s">
        <v>6368</v>
      </c>
      <c r="E1044" s="1" t="s">
        <v>29</v>
      </c>
      <c r="F1044" s="1" t="s">
        <v>47</v>
      </c>
      <c r="G1044" s="1" t="s">
        <v>48</v>
      </c>
      <c r="H1044" s="1" t="s">
        <v>49</v>
      </c>
      <c r="I1044" s="1" t="s">
        <v>6370</v>
      </c>
      <c r="J1044" s="2" t="s">
        <v>394</v>
      </c>
      <c r="K1044" s="2" t="s">
        <v>6371</v>
      </c>
      <c r="L1044" s="2" t="s">
        <v>6369</v>
      </c>
      <c r="M1044" s="3" t="str">
        <f>VLOOKUP(G1044,справочник!$B$1:$C$94,2,0)</f>
        <v>МСК+2</v>
      </c>
    </row>
    <row r="1045" spans="1:13" ht="83.4" thickBot="1" x14ac:dyDescent="0.35">
      <c r="A1045" s="1" t="s">
        <v>33</v>
      </c>
      <c r="B1045" s="1">
        <v>572</v>
      </c>
      <c r="C1045" s="1" t="s">
        <v>6372</v>
      </c>
      <c r="D1045" s="2" t="s">
        <v>6373</v>
      </c>
      <c r="E1045" s="1" t="s">
        <v>29</v>
      </c>
      <c r="F1045" s="1" t="s">
        <v>47</v>
      </c>
      <c r="G1045" s="1" t="s">
        <v>48</v>
      </c>
      <c r="H1045" s="1" t="s">
        <v>49</v>
      </c>
      <c r="I1045" s="1" t="s">
        <v>6374</v>
      </c>
      <c r="J1045" s="2" t="s">
        <v>6375</v>
      </c>
      <c r="K1045" s="2" t="s">
        <v>6376</v>
      </c>
      <c r="L1045" s="2" t="s">
        <v>6377</v>
      </c>
      <c r="M1045" s="3" t="str">
        <f>VLOOKUP(G1045,справочник!$B$1:$C$94,2,0)</f>
        <v>МСК+2</v>
      </c>
    </row>
    <row r="1046" spans="1:13" ht="42" thickBot="1" x14ac:dyDescent="0.35">
      <c r="A1046" s="1" t="s">
        <v>12</v>
      </c>
      <c r="B1046" s="1">
        <v>916</v>
      </c>
      <c r="C1046" s="1" t="s">
        <v>6378</v>
      </c>
      <c r="D1046" s="2" t="s">
        <v>6379</v>
      </c>
      <c r="E1046" s="1" t="s">
        <v>29</v>
      </c>
      <c r="F1046" s="1" t="s">
        <v>47</v>
      </c>
      <c r="G1046" s="1" t="s">
        <v>48</v>
      </c>
      <c r="H1046" s="1" t="s">
        <v>49</v>
      </c>
      <c r="I1046" s="1" t="s">
        <v>6380</v>
      </c>
      <c r="J1046" s="2" t="s">
        <v>4589</v>
      </c>
      <c r="K1046" s="2" t="s">
        <v>6381</v>
      </c>
      <c r="L1046" s="2" t="s">
        <v>6382</v>
      </c>
      <c r="M1046" s="3" t="str">
        <f>VLOOKUP(G1046,справочник!$B$1:$C$94,2,0)</f>
        <v>МСК+2</v>
      </c>
    </row>
    <row r="1047" spans="1:13" ht="42" thickBot="1" x14ac:dyDescent="0.35">
      <c r="A1047" s="1" t="s">
        <v>131</v>
      </c>
      <c r="B1047" s="1">
        <v>3400</v>
      </c>
      <c r="C1047" s="1" t="s">
        <v>6383</v>
      </c>
      <c r="D1047" s="2" t="s">
        <v>6384</v>
      </c>
      <c r="E1047" s="1" t="s">
        <v>20</v>
      </c>
      <c r="F1047" s="1" t="s">
        <v>47</v>
      </c>
      <c r="G1047" s="1" t="s">
        <v>48</v>
      </c>
      <c r="H1047" s="1" t="s">
        <v>49</v>
      </c>
      <c r="I1047" s="1" t="s">
        <v>6385</v>
      </c>
      <c r="J1047" s="2" t="s">
        <v>6386</v>
      </c>
      <c r="K1047" s="2" t="s">
        <v>6387</v>
      </c>
      <c r="L1047" s="2" t="s">
        <v>6388</v>
      </c>
      <c r="M1047" s="3" t="str">
        <f>VLOOKUP(G1047,справочник!$B$1:$C$94,2,0)</f>
        <v>МСК+2</v>
      </c>
    </row>
    <row r="1048" spans="1:13" ht="42" thickBot="1" x14ac:dyDescent="0.35">
      <c r="A1048" s="1" t="s">
        <v>146</v>
      </c>
      <c r="B1048" s="1">
        <v>2084</v>
      </c>
      <c r="C1048" s="1" t="s">
        <v>6389</v>
      </c>
      <c r="D1048" s="2" t="s">
        <v>6390</v>
      </c>
      <c r="E1048" s="1" t="s">
        <v>20</v>
      </c>
      <c r="F1048" s="1" t="s">
        <v>47</v>
      </c>
      <c r="G1048" s="1" t="s">
        <v>48</v>
      </c>
      <c r="H1048" s="1" t="s">
        <v>49</v>
      </c>
      <c r="I1048" s="1" t="s">
        <v>6392</v>
      </c>
      <c r="J1048" s="2" t="s">
        <v>6393</v>
      </c>
      <c r="K1048" s="2" t="s">
        <v>6394</v>
      </c>
      <c r="L1048" s="2" t="s">
        <v>6391</v>
      </c>
      <c r="M1048" s="3" t="str">
        <f>VLOOKUP(G1048,справочник!$B$1:$C$94,2,0)</f>
        <v>МСК+2</v>
      </c>
    </row>
    <row r="1049" spans="1:13" ht="42" thickBot="1" x14ac:dyDescent="0.35">
      <c r="A1049" s="1" t="s">
        <v>146</v>
      </c>
      <c r="B1049" s="1">
        <v>229</v>
      </c>
      <c r="C1049" s="1" t="s">
        <v>6395</v>
      </c>
      <c r="D1049" s="2" t="s">
        <v>6396</v>
      </c>
      <c r="E1049" s="1" t="s">
        <v>29</v>
      </c>
      <c r="F1049" s="1" t="s">
        <v>47</v>
      </c>
      <c r="G1049" s="1" t="s">
        <v>48</v>
      </c>
      <c r="H1049" s="1" t="s">
        <v>49</v>
      </c>
      <c r="I1049" s="1" t="s">
        <v>6397</v>
      </c>
      <c r="J1049" s="2" t="s">
        <v>467</v>
      </c>
      <c r="K1049" s="2" t="s">
        <v>6398</v>
      </c>
      <c r="L1049" s="2" t="s">
        <v>6399</v>
      </c>
      <c r="M1049" s="3" t="str">
        <f>VLOOKUP(G1049,справочник!$B$1:$C$94,2,0)</f>
        <v>МСК+2</v>
      </c>
    </row>
    <row r="1050" spans="1:13" ht="28.2" thickBot="1" x14ac:dyDescent="0.35">
      <c r="A1050" s="1" t="s">
        <v>177</v>
      </c>
      <c r="B1050" s="1">
        <v>757</v>
      </c>
      <c r="C1050" s="1" t="s">
        <v>6400</v>
      </c>
      <c r="D1050" s="2" t="s">
        <v>6401</v>
      </c>
      <c r="E1050" s="1" t="s">
        <v>29</v>
      </c>
      <c r="F1050" s="1" t="s">
        <v>222</v>
      </c>
      <c r="G1050" s="1" t="s">
        <v>472</v>
      </c>
      <c r="H1050" s="1" t="s">
        <v>473</v>
      </c>
      <c r="I1050" s="1" t="s">
        <v>6402</v>
      </c>
      <c r="J1050" s="2" t="s">
        <v>1923</v>
      </c>
      <c r="K1050" s="2" t="s">
        <v>6403</v>
      </c>
      <c r="L1050" s="2" t="s">
        <v>6404</v>
      </c>
      <c r="M1050" s="3" t="str">
        <f>VLOOKUP(G1050,справочник!$B$1:$C$94,2,0)</f>
        <v>МСК+2</v>
      </c>
    </row>
    <row r="1051" spans="1:13" ht="42" thickBot="1" x14ac:dyDescent="0.35">
      <c r="A1051" s="1" t="s">
        <v>146</v>
      </c>
      <c r="B1051" s="1">
        <v>233</v>
      </c>
      <c r="C1051" s="1" t="s">
        <v>6405</v>
      </c>
      <c r="D1051" s="2" t="s">
        <v>6406</v>
      </c>
      <c r="E1051" s="1" t="s">
        <v>29</v>
      </c>
      <c r="F1051" s="1" t="s">
        <v>222</v>
      </c>
      <c r="G1051" s="1" t="s">
        <v>472</v>
      </c>
      <c r="H1051" s="1" t="s">
        <v>473</v>
      </c>
      <c r="I1051" s="1" t="s">
        <v>6408</v>
      </c>
      <c r="J1051" s="2" t="s">
        <v>6409</v>
      </c>
      <c r="K1051" s="2" t="s">
        <v>6410</v>
      </c>
      <c r="L1051" s="2" t="s">
        <v>6407</v>
      </c>
      <c r="M1051" s="3" t="str">
        <f>VLOOKUP(G1051,справочник!$B$1:$C$94,2,0)</f>
        <v>МСК+2</v>
      </c>
    </row>
    <row r="1052" spans="1:13" ht="42" thickBot="1" x14ac:dyDescent="0.35">
      <c r="A1052" s="1" t="s">
        <v>17</v>
      </c>
      <c r="B1052" s="1">
        <v>3603</v>
      </c>
      <c r="C1052" s="1" t="s">
        <v>6411</v>
      </c>
      <c r="D1052" s="2" t="s">
        <v>6412</v>
      </c>
      <c r="E1052" s="1" t="s">
        <v>20</v>
      </c>
      <c r="F1052" s="1" t="s">
        <v>222</v>
      </c>
      <c r="G1052" s="1" t="s">
        <v>472</v>
      </c>
      <c r="H1052" s="1" t="s">
        <v>473</v>
      </c>
      <c r="I1052" s="1" t="s">
        <v>6414</v>
      </c>
      <c r="J1052" s="2" t="s">
        <v>6415</v>
      </c>
      <c r="K1052" s="2" t="s">
        <v>6416</v>
      </c>
      <c r="L1052" s="2" t="s">
        <v>6413</v>
      </c>
      <c r="M1052" s="3" t="str">
        <f>VLOOKUP(G1052,справочник!$B$1:$C$94,2,0)</f>
        <v>МСК+2</v>
      </c>
    </row>
    <row r="1053" spans="1:13" ht="42" thickBot="1" x14ac:dyDescent="0.35">
      <c r="A1053" s="1" t="s">
        <v>146</v>
      </c>
      <c r="B1053" s="1">
        <v>3994</v>
      </c>
      <c r="C1053" s="1" t="s">
        <v>6417</v>
      </c>
      <c r="D1053" s="2" t="s">
        <v>6418</v>
      </c>
      <c r="E1053" s="1" t="s">
        <v>29</v>
      </c>
      <c r="F1053" s="1" t="s">
        <v>222</v>
      </c>
      <c r="G1053" s="1" t="s">
        <v>472</v>
      </c>
      <c r="H1053" s="1" t="s">
        <v>473</v>
      </c>
      <c r="I1053" s="1" t="s">
        <v>6419</v>
      </c>
      <c r="J1053" s="2" t="s">
        <v>6420</v>
      </c>
      <c r="K1053" s="2" t="s">
        <v>6421</v>
      </c>
      <c r="L1053" s="2" t="s">
        <v>6422</v>
      </c>
      <c r="M1053" s="3" t="str">
        <f>VLOOKUP(G1053,справочник!$B$1:$C$94,2,0)</f>
        <v>МСК+2</v>
      </c>
    </row>
    <row r="1054" spans="1:13" ht="42" thickBot="1" x14ac:dyDescent="0.35">
      <c r="A1054" s="1" t="s">
        <v>146</v>
      </c>
      <c r="B1054" s="1">
        <v>2126</v>
      </c>
      <c r="C1054" s="1" t="s">
        <v>6423</v>
      </c>
      <c r="D1054" s="2" t="s">
        <v>6424</v>
      </c>
      <c r="E1054" s="1" t="s">
        <v>20</v>
      </c>
      <c r="F1054" s="1" t="s">
        <v>222</v>
      </c>
      <c r="G1054" s="1" t="s">
        <v>472</v>
      </c>
      <c r="H1054" s="1" t="s">
        <v>473</v>
      </c>
      <c r="I1054" s="1" t="s">
        <v>6426</v>
      </c>
      <c r="J1054" s="2" t="s">
        <v>6427</v>
      </c>
      <c r="K1054" s="2" t="s">
        <v>6428</v>
      </c>
      <c r="L1054" s="2" t="s">
        <v>6425</v>
      </c>
      <c r="M1054" s="3" t="str">
        <f>VLOOKUP(G1054,справочник!$B$1:$C$94,2,0)</f>
        <v>МСК+2</v>
      </c>
    </row>
    <row r="1055" spans="1:13" ht="42" thickBot="1" x14ac:dyDescent="0.35">
      <c r="A1055" s="1" t="s">
        <v>146</v>
      </c>
      <c r="B1055" s="1">
        <v>234</v>
      </c>
      <c r="C1055" s="1" t="s">
        <v>6429</v>
      </c>
      <c r="D1055" s="2" t="s">
        <v>6430</v>
      </c>
      <c r="E1055" s="1" t="s">
        <v>29</v>
      </c>
      <c r="F1055" s="1" t="s">
        <v>30</v>
      </c>
      <c r="G1055" s="1" t="s">
        <v>3043</v>
      </c>
      <c r="H1055" s="1" t="s">
        <v>6432</v>
      </c>
      <c r="I1055" s="1" t="s">
        <v>6433</v>
      </c>
      <c r="J1055" s="2" t="s">
        <v>6434</v>
      </c>
      <c r="K1055" s="2" t="s">
        <v>6435</v>
      </c>
      <c r="L1055" s="2" t="s">
        <v>6431</v>
      </c>
      <c r="M1055" s="3" t="str">
        <f>VLOOKUP(G1055,справочник!$B$1:$C$94,2,0)</f>
        <v>МСК</v>
      </c>
    </row>
    <row r="1056" spans="1:13" ht="42" thickBot="1" x14ac:dyDescent="0.35">
      <c r="A1056" s="1" t="s">
        <v>177</v>
      </c>
      <c r="B1056" s="1">
        <v>740</v>
      </c>
      <c r="C1056" s="1" t="s">
        <v>6436</v>
      </c>
      <c r="D1056" s="2" t="s">
        <v>6437</v>
      </c>
      <c r="E1056" s="1" t="s">
        <v>29</v>
      </c>
      <c r="F1056" s="1" t="s">
        <v>222</v>
      </c>
      <c r="G1056" s="1" t="s">
        <v>223</v>
      </c>
      <c r="H1056" s="1" t="s">
        <v>224</v>
      </c>
      <c r="I1056" s="1" t="s">
        <v>6439</v>
      </c>
      <c r="J1056" s="2" t="s">
        <v>6440</v>
      </c>
      <c r="K1056" s="2" t="s">
        <v>6441</v>
      </c>
      <c r="L1056" s="2" t="s">
        <v>6438</v>
      </c>
      <c r="M1056" s="3" t="str">
        <f>VLOOKUP(G1056,справочник!$B$1:$C$94,2,0)</f>
        <v>МСК</v>
      </c>
    </row>
    <row r="1057" spans="1:13" ht="42" thickBot="1" x14ac:dyDescent="0.35">
      <c r="A1057" s="1" t="s">
        <v>261</v>
      </c>
      <c r="B1057" s="1">
        <v>1058</v>
      </c>
      <c r="C1057" s="1" t="s">
        <v>6442</v>
      </c>
      <c r="D1057" s="2" t="s">
        <v>6443</v>
      </c>
      <c r="E1057" s="1" t="s">
        <v>29</v>
      </c>
      <c r="F1057" s="1" t="s">
        <v>30</v>
      </c>
      <c r="G1057" s="1" t="s">
        <v>624</v>
      </c>
      <c r="H1057" s="1" t="s">
        <v>625</v>
      </c>
      <c r="I1057" s="1" t="s">
        <v>6445</v>
      </c>
      <c r="J1057" s="2" t="s">
        <v>481</v>
      </c>
      <c r="K1057" s="2" t="s">
        <v>6446</v>
      </c>
      <c r="L1057" s="2" t="s">
        <v>6444</v>
      </c>
      <c r="M1057" s="3" t="str">
        <f>VLOOKUP(G1057,справочник!$B$1:$C$94,2,0)</f>
        <v>МСК</v>
      </c>
    </row>
    <row r="1058" spans="1:13" ht="28.2" thickBot="1" x14ac:dyDescent="0.35">
      <c r="A1058" s="1" t="s">
        <v>131</v>
      </c>
      <c r="B1058" s="1">
        <v>3645</v>
      </c>
      <c r="C1058" s="1" t="s">
        <v>6447</v>
      </c>
      <c r="D1058" s="2" t="s">
        <v>6448</v>
      </c>
      <c r="E1058" s="1" t="s">
        <v>104</v>
      </c>
      <c r="F1058" s="1" t="s">
        <v>14</v>
      </c>
      <c r="G1058" s="1" t="s">
        <v>15</v>
      </c>
      <c r="H1058" s="1" t="s">
        <v>4330</v>
      </c>
      <c r="I1058" s="1" t="s">
        <v>6450</v>
      </c>
      <c r="J1058" s="2" t="s">
        <v>6451</v>
      </c>
      <c r="K1058" s="2" t="s">
        <v>6449</v>
      </c>
      <c r="L1058" s="2" t="s">
        <v>6452</v>
      </c>
      <c r="M1058" s="3" t="str">
        <f>VLOOKUP(G1058,справочник!$B$1:$C$94,2,0)</f>
        <v>МСК</v>
      </c>
    </row>
    <row r="1059" spans="1:13" ht="42" thickBot="1" x14ac:dyDescent="0.35">
      <c r="A1059" s="1" t="s">
        <v>6453</v>
      </c>
      <c r="B1059" s="1">
        <v>3675</v>
      </c>
      <c r="C1059" s="1" t="s">
        <v>6454</v>
      </c>
      <c r="D1059" s="2" t="s">
        <v>6455</v>
      </c>
      <c r="E1059" s="1" t="s">
        <v>20</v>
      </c>
      <c r="F1059" s="1" t="s">
        <v>14</v>
      </c>
      <c r="G1059" s="1" t="s">
        <v>15</v>
      </c>
      <c r="H1059" s="1" t="s">
        <v>16</v>
      </c>
      <c r="I1059" s="1" t="s">
        <v>6457</v>
      </c>
      <c r="J1059" s="2" t="s">
        <v>6458</v>
      </c>
      <c r="K1059" s="2" t="s">
        <v>6459</v>
      </c>
      <c r="L1059" s="2" t="s">
        <v>6456</v>
      </c>
      <c r="M1059" s="3" t="str">
        <f>VLOOKUP(G1059,справочник!$B$1:$C$94,2,0)</f>
        <v>МСК</v>
      </c>
    </row>
    <row r="1060" spans="1:13" ht="55.8" thickBot="1" x14ac:dyDescent="0.35">
      <c r="A1060" s="1" t="s">
        <v>261</v>
      </c>
      <c r="B1060" s="1">
        <v>7565</v>
      </c>
      <c r="C1060" s="1" t="s">
        <v>6460</v>
      </c>
      <c r="D1060" s="2" t="s">
        <v>6461</v>
      </c>
      <c r="E1060" s="1" t="s">
        <v>20</v>
      </c>
      <c r="F1060" s="1" t="s">
        <v>21</v>
      </c>
      <c r="G1060" s="1" t="s">
        <v>22</v>
      </c>
      <c r="H1060" s="1" t="s">
        <v>6463</v>
      </c>
      <c r="I1060" s="1" t="s">
        <v>6464</v>
      </c>
      <c r="J1060" s="2" t="s">
        <v>6465</v>
      </c>
      <c r="K1060" s="2" t="s">
        <v>6466</v>
      </c>
      <c r="L1060" s="2" t="s">
        <v>6462</v>
      </c>
      <c r="M1060" s="3" t="str">
        <f>VLOOKUP(G1060,справочник!$B$1:$C$94,2,0)</f>
        <v>МСК</v>
      </c>
    </row>
    <row r="1061" spans="1:13" ht="83.4" thickBot="1" x14ac:dyDescent="0.35">
      <c r="A1061" s="1" t="s">
        <v>17</v>
      </c>
      <c r="B1061" s="1">
        <v>7466</v>
      </c>
      <c r="C1061" s="1" t="s">
        <v>6467</v>
      </c>
      <c r="D1061" s="2" t="s">
        <v>6468</v>
      </c>
      <c r="E1061" s="1" t="s">
        <v>20</v>
      </c>
      <c r="F1061" s="1" t="s">
        <v>222</v>
      </c>
      <c r="G1061" s="1" t="s">
        <v>4536</v>
      </c>
      <c r="H1061" s="1" t="s">
        <v>4537</v>
      </c>
      <c r="I1061" s="1" t="s">
        <v>6470</v>
      </c>
      <c r="J1061" s="2" t="s">
        <v>6471</v>
      </c>
      <c r="K1061" s="2" t="s">
        <v>6472</v>
      </c>
      <c r="L1061" s="2" t="s">
        <v>6469</v>
      </c>
      <c r="M1061" s="3" t="str">
        <f>VLOOKUP(G1061,справочник!$B$1:$C$94,2,0)</f>
        <v>МСК+1</v>
      </c>
    </row>
    <row r="1062" spans="1:13" ht="42" thickBot="1" x14ac:dyDescent="0.35">
      <c r="A1062" s="1" t="s">
        <v>146</v>
      </c>
      <c r="B1062" s="1">
        <v>2339</v>
      </c>
      <c r="C1062" s="1" t="s">
        <v>6473</v>
      </c>
      <c r="D1062" s="2" t="s">
        <v>6474</v>
      </c>
      <c r="E1062" s="1" t="s">
        <v>20</v>
      </c>
      <c r="F1062" s="1" t="s">
        <v>109</v>
      </c>
      <c r="G1062" s="1" t="s">
        <v>1352</v>
      </c>
      <c r="H1062" s="1" t="s">
        <v>1360</v>
      </c>
      <c r="I1062" s="1" t="s">
        <v>6475</v>
      </c>
      <c r="J1062" s="2" t="s">
        <v>6476</v>
      </c>
      <c r="K1062" s="2" t="s">
        <v>6477</v>
      </c>
      <c r="L1062" s="2" t="s">
        <v>6478</v>
      </c>
      <c r="M1062" s="3" t="str">
        <f>VLOOKUP(G1062,справочник!$B$1:$C$94,2,0)</f>
        <v>МСК</v>
      </c>
    </row>
    <row r="1063" spans="1:13" ht="42" thickBot="1" x14ac:dyDescent="0.35">
      <c r="A1063" s="1" t="s">
        <v>146</v>
      </c>
      <c r="B1063" s="1">
        <v>2325</v>
      </c>
      <c r="C1063" s="1" t="s">
        <v>6479</v>
      </c>
      <c r="D1063" s="2" t="s">
        <v>6480</v>
      </c>
      <c r="E1063" s="1" t="s">
        <v>20</v>
      </c>
      <c r="F1063" s="1" t="s">
        <v>222</v>
      </c>
      <c r="G1063" s="1" t="s">
        <v>1002</v>
      </c>
      <c r="H1063" s="1" t="s">
        <v>1003</v>
      </c>
      <c r="I1063" s="1" t="s">
        <v>6481</v>
      </c>
      <c r="J1063" s="2" t="s">
        <v>6482</v>
      </c>
      <c r="K1063" s="2" t="s">
        <v>6483</v>
      </c>
      <c r="L1063" s="2" t="s">
        <v>6484</v>
      </c>
      <c r="M1063" s="3" t="str">
        <f>VLOOKUP(G1063,справочник!$B$1:$C$94,2,0)</f>
        <v>МСК</v>
      </c>
    </row>
    <row r="1064" spans="1:13" ht="42" thickBot="1" x14ac:dyDescent="0.35">
      <c r="A1064" s="1" t="s">
        <v>146</v>
      </c>
      <c r="B1064" s="1">
        <v>1859</v>
      </c>
      <c r="C1064" s="1" t="s">
        <v>6485</v>
      </c>
      <c r="D1064" s="2" t="s">
        <v>6486</v>
      </c>
      <c r="E1064" s="1" t="s">
        <v>20</v>
      </c>
      <c r="F1064" s="1" t="s">
        <v>222</v>
      </c>
      <c r="G1064" s="1" t="s">
        <v>4536</v>
      </c>
      <c r="H1064" s="1" t="s">
        <v>4537</v>
      </c>
      <c r="I1064" s="1" t="s">
        <v>6487</v>
      </c>
      <c r="J1064" s="2" t="s">
        <v>6488</v>
      </c>
      <c r="K1064" s="2" t="s">
        <v>6489</v>
      </c>
      <c r="L1064" s="2" t="s">
        <v>6490</v>
      </c>
      <c r="M1064" s="3" t="str">
        <f>VLOOKUP(G1064,справочник!$B$1:$C$94,2,0)</f>
        <v>МСК+1</v>
      </c>
    </row>
    <row r="1065" spans="1:13" ht="42" thickBot="1" x14ac:dyDescent="0.35">
      <c r="A1065" s="1" t="s">
        <v>5004</v>
      </c>
      <c r="B1065" s="1">
        <v>3644</v>
      </c>
      <c r="C1065" s="1" t="s">
        <v>6491</v>
      </c>
      <c r="D1065" s="2" t="s">
        <v>6492</v>
      </c>
      <c r="E1065" s="1" t="s">
        <v>104</v>
      </c>
      <c r="F1065" s="1" t="s">
        <v>14</v>
      </c>
      <c r="G1065" s="1" t="s">
        <v>15</v>
      </c>
      <c r="H1065" s="1" t="s">
        <v>16</v>
      </c>
      <c r="I1065" s="1" t="s">
        <v>6493</v>
      </c>
      <c r="J1065" s="2" t="s">
        <v>6494</v>
      </c>
      <c r="K1065" s="2" t="s">
        <v>6495</v>
      </c>
      <c r="L1065" s="2" t="s">
        <v>6496</v>
      </c>
      <c r="M1065" s="3" t="str">
        <f>VLOOKUP(G1065,справочник!$B$1:$C$94,2,0)</f>
        <v>МСК</v>
      </c>
    </row>
    <row r="1066" spans="1:13" ht="42" thickBot="1" x14ac:dyDescent="0.35">
      <c r="A1066" s="1" t="s">
        <v>146</v>
      </c>
      <c r="B1066" s="1">
        <v>2098</v>
      </c>
      <c r="C1066" s="1" t="s">
        <v>6497</v>
      </c>
      <c r="D1066" s="2" t="s">
        <v>6498</v>
      </c>
      <c r="E1066" s="1" t="s">
        <v>20</v>
      </c>
      <c r="F1066" s="1" t="s">
        <v>21</v>
      </c>
      <c r="G1066" s="1" t="s">
        <v>253</v>
      </c>
      <c r="H1066" s="1" t="s">
        <v>254</v>
      </c>
      <c r="I1066" s="1" t="s">
        <v>6500</v>
      </c>
      <c r="J1066" s="2" t="s">
        <v>6501</v>
      </c>
      <c r="K1066" s="2" t="s">
        <v>6502</v>
      </c>
      <c r="L1066" s="2" t="s">
        <v>6499</v>
      </c>
      <c r="M1066" s="3" t="str">
        <f>VLOOKUP(G1066,справочник!$B$1:$C$94,2,0)</f>
        <v>МСК</v>
      </c>
    </row>
    <row r="1067" spans="1:13" ht="55.8" thickBot="1" x14ac:dyDescent="0.35">
      <c r="A1067" s="1" t="s">
        <v>146</v>
      </c>
      <c r="B1067" s="1">
        <v>1921</v>
      </c>
      <c r="C1067" s="1" t="s">
        <v>6503</v>
      </c>
      <c r="D1067" s="2" t="s">
        <v>6504</v>
      </c>
      <c r="E1067" s="1" t="s">
        <v>20</v>
      </c>
      <c r="F1067" s="1" t="s">
        <v>36</v>
      </c>
      <c r="G1067" s="1" t="s">
        <v>1181</v>
      </c>
      <c r="H1067" s="1" t="s">
        <v>1710</v>
      </c>
      <c r="I1067" s="1" t="s">
        <v>6505</v>
      </c>
      <c r="J1067" s="2" t="s">
        <v>6506</v>
      </c>
      <c r="K1067" s="2" t="s">
        <v>6507</v>
      </c>
      <c r="L1067" s="2" t="s">
        <v>6508</v>
      </c>
      <c r="M1067" s="3" t="str">
        <f>VLOOKUP(G1067,справочник!$B$1:$C$94,2,0)</f>
        <v>МСК+4</v>
      </c>
    </row>
    <row r="1068" spans="1:13" ht="42" thickBot="1" x14ac:dyDescent="0.35">
      <c r="A1068" s="1" t="s">
        <v>146</v>
      </c>
      <c r="B1068" s="1">
        <v>2527</v>
      </c>
      <c r="C1068" s="1" t="s">
        <v>6509</v>
      </c>
      <c r="D1068" s="2" t="s">
        <v>6510</v>
      </c>
      <c r="E1068" s="1" t="s">
        <v>20</v>
      </c>
      <c r="F1068" s="1" t="s">
        <v>14</v>
      </c>
      <c r="G1068" s="1" t="s">
        <v>15</v>
      </c>
      <c r="H1068" s="1" t="s">
        <v>1764</v>
      </c>
      <c r="I1068" s="1" t="s">
        <v>6511</v>
      </c>
      <c r="J1068" s="2" t="s">
        <v>6512</v>
      </c>
      <c r="K1068" s="2" t="s">
        <v>6513</v>
      </c>
      <c r="L1068" s="2" t="s">
        <v>6514</v>
      </c>
      <c r="M1068" s="3" t="str">
        <f>VLOOKUP(G1068,справочник!$B$1:$C$94,2,0)</f>
        <v>МСК</v>
      </c>
    </row>
    <row r="1069" spans="1:13" ht="42" thickBot="1" x14ac:dyDescent="0.35">
      <c r="A1069" s="1" t="s">
        <v>146</v>
      </c>
      <c r="B1069" s="1">
        <v>2272</v>
      </c>
      <c r="C1069" s="1" t="s">
        <v>6515</v>
      </c>
      <c r="D1069" s="2" t="s">
        <v>6516</v>
      </c>
      <c r="E1069" s="1" t="s">
        <v>20</v>
      </c>
      <c r="F1069" s="1" t="s">
        <v>14</v>
      </c>
      <c r="G1069" s="1" t="s">
        <v>15</v>
      </c>
      <c r="H1069" s="1" t="s">
        <v>5876</v>
      </c>
      <c r="I1069" s="1" t="s">
        <v>6518</v>
      </c>
      <c r="J1069" s="2" t="s">
        <v>6519</v>
      </c>
      <c r="K1069" s="2" t="s">
        <v>6520</v>
      </c>
      <c r="L1069" s="2" t="s">
        <v>6517</v>
      </c>
      <c r="M1069" s="3" t="str">
        <f>VLOOKUP(G1069,справочник!$B$1:$C$94,2,0)</f>
        <v>МСК</v>
      </c>
    </row>
    <row r="1070" spans="1:13" ht="42" thickBot="1" x14ac:dyDescent="0.35">
      <c r="A1070" s="1" t="s">
        <v>146</v>
      </c>
      <c r="B1070" s="1">
        <v>1944</v>
      </c>
      <c r="C1070" s="1" t="s">
        <v>6521</v>
      </c>
      <c r="D1070" s="2" t="s">
        <v>6522</v>
      </c>
      <c r="E1070" s="1" t="s">
        <v>20</v>
      </c>
      <c r="F1070" s="1" t="s">
        <v>222</v>
      </c>
      <c r="G1070" s="1" t="s">
        <v>223</v>
      </c>
      <c r="H1070" s="1" t="s">
        <v>224</v>
      </c>
      <c r="I1070" s="1" t="s">
        <v>6525</v>
      </c>
      <c r="J1070" s="2" t="s">
        <v>6526</v>
      </c>
      <c r="K1070" s="2" t="s">
        <v>6523</v>
      </c>
      <c r="L1070" s="2" t="s">
        <v>6524</v>
      </c>
      <c r="M1070" s="3" t="str">
        <f>VLOOKUP(G1070,справочник!$B$1:$C$94,2,0)</f>
        <v>МСК</v>
      </c>
    </row>
    <row r="1071" spans="1:13" ht="42" thickBot="1" x14ac:dyDescent="0.35">
      <c r="A1071" s="1" t="s">
        <v>146</v>
      </c>
      <c r="B1071" s="1">
        <v>1929</v>
      </c>
      <c r="C1071" s="1" t="s">
        <v>6527</v>
      </c>
      <c r="D1071" s="2" t="s">
        <v>6528</v>
      </c>
      <c r="E1071" s="1" t="s">
        <v>20</v>
      </c>
      <c r="F1071" s="1" t="s">
        <v>30</v>
      </c>
      <c r="G1071" s="1" t="s">
        <v>3862</v>
      </c>
      <c r="H1071" s="1" t="s">
        <v>6529</v>
      </c>
      <c r="I1071" s="1" t="s">
        <v>6530</v>
      </c>
      <c r="J1071" s="2" t="s">
        <v>6531</v>
      </c>
      <c r="K1071" s="2" t="s">
        <v>6532</v>
      </c>
      <c r="L1071" s="2" t="s">
        <v>6533</v>
      </c>
      <c r="M1071" s="3" t="str">
        <f>VLOOKUP(G1071,справочник!$B$1:$C$94,2,0)</f>
        <v>МСК</v>
      </c>
    </row>
    <row r="1072" spans="1:13" ht="42" thickBot="1" x14ac:dyDescent="0.35">
      <c r="A1072" s="1" t="s">
        <v>146</v>
      </c>
      <c r="B1072" s="1">
        <v>2087</v>
      </c>
      <c r="C1072" s="1" t="s">
        <v>6534</v>
      </c>
      <c r="D1072" s="2" t="s">
        <v>6535</v>
      </c>
      <c r="E1072" s="1" t="s">
        <v>20</v>
      </c>
      <c r="F1072" s="1" t="s">
        <v>30</v>
      </c>
      <c r="G1072" s="1" t="s">
        <v>3043</v>
      </c>
      <c r="H1072" s="1" t="s">
        <v>3044</v>
      </c>
      <c r="I1072" s="1" t="s">
        <v>6536</v>
      </c>
      <c r="J1072" s="2" t="s">
        <v>6537</v>
      </c>
      <c r="K1072" s="2" t="s">
        <v>6538</v>
      </c>
      <c r="L1072" s="2" t="s">
        <v>6539</v>
      </c>
      <c r="M1072" s="3" t="str">
        <f>VLOOKUP(G1072,справочник!$B$1:$C$94,2,0)</f>
        <v>МСК</v>
      </c>
    </row>
    <row r="1073" spans="1:13" ht="42" thickBot="1" x14ac:dyDescent="0.35">
      <c r="A1073" s="1" t="s">
        <v>146</v>
      </c>
      <c r="B1073" s="1">
        <v>2040</v>
      </c>
      <c r="C1073" s="1" t="s">
        <v>6540</v>
      </c>
      <c r="D1073" s="2" t="s">
        <v>6541</v>
      </c>
      <c r="E1073" s="1" t="s">
        <v>20</v>
      </c>
      <c r="F1073" s="1" t="s">
        <v>36</v>
      </c>
      <c r="G1073" s="1" t="s">
        <v>37</v>
      </c>
      <c r="H1073" s="1" t="s">
        <v>3096</v>
      </c>
      <c r="I1073" s="1" t="s">
        <v>6542</v>
      </c>
      <c r="J1073" s="2" t="s">
        <v>6543</v>
      </c>
      <c r="K1073" s="2" t="s">
        <v>6544</v>
      </c>
      <c r="L1073" s="2" t="s">
        <v>6545</v>
      </c>
      <c r="M1073" s="3" t="str">
        <f>VLOOKUP(G1073,справочник!$B$1:$C$94,2,0)</f>
        <v>МСК+4</v>
      </c>
    </row>
    <row r="1074" spans="1:13" ht="42" thickBot="1" x14ac:dyDescent="0.35">
      <c r="A1074" s="1" t="s">
        <v>261</v>
      </c>
      <c r="B1074" s="1">
        <v>2349</v>
      </c>
      <c r="C1074" s="1" t="s">
        <v>6546</v>
      </c>
      <c r="D1074" s="2" t="s">
        <v>6547</v>
      </c>
      <c r="E1074" s="1" t="s">
        <v>20</v>
      </c>
      <c r="F1074" s="1" t="s">
        <v>14</v>
      </c>
      <c r="G1074" s="1" t="s">
        <v>43</v>
      </c>
      <c r="H1074" s="1" t="s">
        <v>6548</v>
      </c>
      <c r="I1074" s="1" t="s">
        <v>6549</v>
      </c>
      <c r="J1074" s="2" t="s">
        <v>6550</v>
      </c>
      <c r="K1074" s="2" t="s">
        <v>6551</v>
      </c>
      <c r="L1074" s="2" t="s">
        <v>6552</v>
      </c>
      <c r="M1074" s="3" t="str">
        <f>VLOOKUP(G1074,справочник!$B$1:$C$94,2,0)</f>
        <v>МСК</v>
      </c>
    </row>
    <row r="1075" spans="1:13" ht="55.8" thickBot="1" x14ac:dyDescent="0.35">
      <c r="A1075" s="1" t="s">
        <v>146</v>
      </c>
      <c r="B1075" s="1">
        <v>2742</v>
      </c>
      <c r="C1075" s="1" t="s">
        <v>6553</v>
      </c>
      <c r="D1075" s="2" t="s">
        <v>6554</v>
      </c>
      <c r="E1075" s="1" t="s">
        <v>20</v>
      </c>
      <c r="F1075" s="1" t="s">
        <v>14</v>
      </c>
      <c r="G1075" s="1" t="s">
        <v>43</v>
      </c>
      <c r="H1075" s="1" t="s">
        <v>1745</v>
      </c>
      <c r="I1075" s="1" t="s">
        <v>6555</v>
      </c>
      <c r="J1075" s="2" t="s">
        <v>6556</v>
      </c>
      <c r="K1075" s="2" t="s">
        <v>6557</v>
      </c>
      <c r="L1075" s="2" t="s">
        <v>6558</v>
      </c>
      <c r="M1075" s="3" t="str">
        <f>VLOOKUP(G1075,справочник!$B$1:$C$94,2,0)</f>
        <v>МСК</v>
      </c>
    </row>
    <row r="1076" spans="1:13" ht="42" thickBot="1" x14ac:dyDescent="0.35">
      <c r="A1076" s="1" t="s">
        <v>146</v>
      </c>
      <c r="B1076" s="1">
        <v>2301</v>
      </c>
      <c r="C1076" s="1" t="s">
        <v>6559</v>
      </c>
      <c r="D1076" s="2" t="s">
        <v>6560</v>
      </c>
      <c r="E1076" s="1" t="s">
        <v>20</v>
      </c>
      <c r="F1076" s="1" t="s">
        <v>222</v>
      </c>
      <c r="G1076" s="1" t="s">
        <v>4536</v>
      </c>
      <c r="H1076" s="1" t="s">
        <v>6561</v>
      </c>
      <c r="I1076" s="1" t="s">
        <v>6562</v>
      </c>
      <c r="J1076" s="2" t="s">
        <v>6563</v>
      </c>
      <c r="K1076" s="2" t="s">
        <v>6564</v>
      </c>
      <c r="L1076" s="2" t="s">
        <v>6565</v>
      </c>
      <c r="M1076" s="3" t="str">
        <f>VLOOKUP(G1076,справочник!$B$1:$C$94,2,0)</f>
        <v>МСК+1</v>
      </c>
    </row>
    <row r="1077" spans="1:13" ht="42" thickBot="1" x14ac:dyDescent="0.35">
      <c r="A1077" s="1" t="s">
        <v>146</v>
      </c>
      <c r="B1077" s="1">
        <v>2253</v>
      </c>
      <c r="C1077" s="1" t="s">
        <v>6566</v>
      </c>
      <c r="D1077" s="2" t="s">
        <v>6567</v>
      </c>
      <c r="E1077" s="1" t="s">
        <v>20</v>
      </c>
      <c r="F1077" s="1" t="s">
        <v>21</v>
      </c>
      <c r="G1077" s="1" t="s">
        <v>199</v>
      </c>
      <c r="H1077" s="1" t="s">
        <v>3401</v>
      </c>
      <c r="I1077" s="1" t="s">
        <v>6569</v>
      </c>
      <c r="J1077" s="2" t="s">
        <v>6570</v>
      </c>
      <c r="K1077" s="2" t="s">
        <v>6571</v>
      </c>
      <c r="L1077" s="2" t="s">
        <v>6568</v>
      </c>
      <c r="M1077" s="3" t="str">
        <f>VLOOKUP(G1077,справочник!$B$1:$C$94,2,0)</f>
        <v>МСК</v>
      </c>
    </row>
    <row r="1078" spans="1:13" ht="55.8" thickBot="1" x14ac:dyDescent="0.35">
      <c r="A1078" s="1" t="s">
        <v>146</v>
      </c>
      <c r="B1078" s="1">
        <v>2038</v>
      </c>
      <c r="C1078" s="1" t="s">
        <v>6572</v>
      </c>
      <c r="D1078" s="2" t="s">
        <v>6573</v>
      </c>
      <c r="E1078" s="1" t="s">
        <v>20</v>
      </c>
      <c r="F1078" s="1" t="s">
        <v>14</v>
      </c>
      <c r="G1078" s="1" t="s">
        <v>15</v>
      </c>
      <c r="H1078" s="1" t="s">
        <v>16</v>
      </c>
      <c r="I1078" s="1" t="s">
        <v>2347</v>
      </c>
      <c r="J1078" s="2" t="s">
        <v>6576</v>
      </c>
      <c r="K1078" s="2" t="s">
        <v>6574</v>
      </c>
      <c r="L1078" s="2" t="s">
        <v>6575</v>
      </c>
      <c r="M1078" s="3" t="str">
        <f>VLOOKUP(G1078,справочник!$B$1:$C$94,2,0)</f>
        <v>МСК</v>
      </c>
    </row>
    <row r="1079" spans="1:13" ht="42" thickBot="1" x14ac:dyDescent="0.35">
      <c r="A1079" s="1" t="s">
        <v>146</v>
      </c>
      <c r="B1079" s="1">
        <v>2929</v>
      </c>
      <c r="C1079" s="1" t="s">
        <v>6577</v>
      </c>
      <c r="D1079" s="2" t="s">
        <v>6578</v>
      </c>
      <c r="E1079" s="1" t="s">
        <v>20</v>
      </c>
      <c r="F1079" s="1" t="s">
        <v>114</v>
      </c>
      <c r="G1079" s="1" t="s">
        <v>338</v>
      </c>
      <c r="H1079" s="1" t="s">
        <v>339</v>
      </c>
      <c r="I1079" s="1" t="s">
        <v>6579</v>
      </c>
      <c r="J1079" s="2" t="s">
        <v>6580</v>
      </c>
      <c r="K1079" s="2" t="s">
        <v>6581</v>
      </c>
      <c r="L1079" s="2" t="s">
        <v>6582</v>
      </c>
      <c r="M1079" s="3" t="str">
        <f>VLOOKUP(G1079,справочник!$B$1:$C$94,2,0)</f>
        <v>МСК+6</v>
      </c>
    </row>
    <row r="1080" spans="1:13" ht="42" thickBot="1" x14ac:dyDescent="0.35">
      <c r="A1080" s="1" t="s">
        <v>146</v>
      </c>
      <c r="B1080" s="1">
        <v>1839</v>
      </c>
      <c r="C1080" s="1" t="s">
        <v>6583</v>
      </c>
      <c r="D1080" s="2" t="s">
        <v>6584</v>
      </c>
      <c r="E1080" s="1" t="s">
        <v>20</v>
      </c>
      <c r="F1080" s="1" t="s">
        <v>14</v>
      </c>
      <c r="G1080" s="1" t="s">
        <v>637</v>
      </c>
      <c r="H1080" s="1" t="s">
        <v>6585</v>
      </c>
      <c r="I1080" s="1" t="s">
        <v>6586</v>
      </c>
      <c r="J1080" s="2" t="s">
        <v>92</v>
      </c>
      <c r="K1080" s="2" t="s">
        <v>92</v>
      </c>
      <c r="L1080" s="2" t="s">
        <v>92</v>
      </c>
      <c r="M1080" s="3" t="str">
        <f>VLOOKUP(G1080,справочник!$B$1:$C$94,2,0)</f>
        <v>МСК</v>
      </c>
    </row>
    <row r="1081" spans="1:13" ht="42" thickBot="1" x14ac:dyDescent="0.35">
      <c r="A1081" s="1" t="s">
        <v>146</v>
      </c>
      <c r="B1081" s="1">
        <v>2054</v>
      </c>
      <c r="C1081" s="1" t="s">
        <v>6587</v>
      </c>
      <c r="D1081" s="2" t="s">
        <v>6588</v>
      </c>
      <c r="E1081" s="1" t="s">
        <v>20</v>
      </c>
      <c r="F1081" s="1" t="s">
        <v>30</v>
      </c>
      <c r="G1081" s="1" t="s">
        <v>31</v>
      </c>
      <c r="H1081" s="1" t="s">
        <v>32</v>
      </c>
      <c r="I1081" s="1" t="s">
        <v>6589</v>
      </c>
      <c r="J1081" s="2" t="s">
        <v>6590</v>
      </c>
      <c r="K1081" s="2" t="s">
        <v>6591</v>
      </c>
      <c r="L1081" s="2" t="s">
        <v>6592</v>
      </c>
      <c r="M1081" s="3" t="str">
        <f>VLOOKUP(G1081,справочник!$B$1:$C$94,2,0)</f>
        <v>МСК</v>
      </c>
    </row>
    <row r="1082" spans="1:13" ht="42" thickBot="1" x14ac:dyDescent="0.35">
      <c r="A1082" s="1" t="s">
        <v>146</v>
      </c>
      <c r="B1082" s="1">
        <v>1827</v>
      </c>
      <c r="C1082" s="1" t="s">
        <v>6593</v>
      </c>
      <c r="D1082" s="2" t="s">
        <v>6594</v>
      </c>
      <c r="E1082" s="1" t="s">
        <v>20</v>
      </c>
      <c r="F1082" s="1" t="s">
        <v>14</v>
      </c>
      <c r="G1082" s="1" t="s">
        <v>43</v>
      </c>
      <c r="H1082" s="1" t="s">
        <v>6595</v>
      </c>
      <c r="I1082" s="1" t="s">
        <v>6596</v>
      </c>
      <c r="J1082" s="2" t="s">
        <v>6597</v>
      </c>
      <c r="K1082" s="2" t="s">
        <v>6598</v>
      </c>
      <c r="L1082" s="2" t="s">
        <v>6599</v>
      </c>
      <c r="M1082" s="3" t="str">
        <f>VLOOKUP(G1082,справочник!$B$1:$C$94,2,0)</f>
        <v>МСК</v>
      </c>
    </row>
    <row r="1083" spans="1:13" ht="42" thickBot="1" x14ac:dyDescent="0.35">
      <c r="A1083" s="1" t="s">
        <v>146</v>
      </c>
      <c r="B1083" s="1">
        <v>2329</v>
      </c>
      <c r="C1083" s="1" t="s">
        <v>6600</v>
      </c>
      <c r="D1083" s="2" t="s">
        <v>6601</v>
      </c>
      <c r="E1083" s="1" t="s">
        <v>20</v>
      </c>
      <c r="F1083" s="1" t="s">
        <v>14</v>
      </c>
      <c r="G1083" s="1" t="s">
        <v>15</v>
      </c>
      <c r="H1083" s="1" t="s">
        <v>16</v>
      </c>
      <c r="I1083" s="1" t="s">
        <v>6602</v>
      </c>
      <c r="J1083" s="2" t="s">
        <v>6603</v>
      </c>
      <c r="K1083" s="2" t="s">
        <v>6604</v>
      </c>
      <c r="L1083" s="2" t="s">
        <v>6605</v>
      </c>
      <c r="M1083" s="3" t="str">
        <f>VLOOKUP(G1083,справочник!$B$1:$C$94,2,0)</f>
        <v>МСК</v>
      </c>
    </row>
    <row r="1084" spans="1:13" ht="55.8" thickBot="1" x14ac:dyDescent="0.35">
      <c r="A1084" s="1" t="s">
        <v>146</v>
      </c>
      <c r="B1084" s="1">
        <v>2026</v>
      </c>
      <c r="C1084" s="1" t="s">
        <v>6606</v>
      </c>
      <c r="D1084" s="2" t="s">
        <v>6607</v>
      </c>
      <c r="E1084" s="1" t="s">
        <v>20</v>
      </c>
      <c r="F1084" s="1" t="s">
        <v>222</v>
      </c>
      <c r="G1084" s="1" t="s">
        <v>727</v>
      </c>
      <c r="H1084" s="1" t="s">
        <v>728</v>
      </c>
      <c r="I1084" s="1" t="s">
        <v>6608</v>
      </c>
      <c r="J1084" s="2" t="s">
        <v>6609</v>
      </c>
      <c r="K1084" s="2" t="s">
        <v>6610</v>
      </c>
      <c r="L1084" s="2" t="s">
        <v>6611</v>
      </c>
      <c r="M1084" s="3" t="str">
        <f>VLOOKUP(G1084,справочник!$B$1:$C$94,2,0)</f>
        <v>МСК</v>
      </c>
    </row>
    <row r="1085" spans="1:13" ht="55.8" thickBot="1" x14ac:dyDescent="0.35">
      <c r="A1085" s="1" t="s">
        <v>146</v>
      </c>
      <c r="B1085" s="1">
        <v>2103</v>
      </c>
      <c r="C1085" s="1" t="s">
        <v>6612</v>
      </c>
      <c r="D1085" s="2" t="s">
        <v>6613</v>
      </c>
      <c r="E1085" s="1" t="s">
        <v>20</v>
      </c>
      <c r="F1085" s="1" t="s">
        <v>36</v>
      </c>
      <c r="G1085" s="1" t="s">
        <v>1181</v>
      </c>
      <c r="H1085" s="1" t="s">
        <v>1710</v>
      </c>
      <c r="I1085" s="1" t="s">
        <v>6614</v>
      </c>
      <c r="J1085" s="2" t="s">
        <v>4565</v>
      </c>
      <c r="K1085" s="2" t="s">
        <v>6615</v>
      </c>
      <c r="L1085" s="2" t="s">
        <v>6616</v>
      </c>
      <c r="M1085" s="3" t="str">
        <f>VLOOKUP(G1085,справочник!$B$1:$C$94,2,0)</f>
        <v>МСК+4</v>
      </c>
    </row>
    <row r="1086" spans="1:13" ht="42" thickBot="1" x14ac:dyDescent="0.35">
      <c r="A1086" s="1" t="s">
        <v>146</v>
      </c>
      <c r="B1086" s="1">
        <v>1994</v>
      </c>
      <c r="C1086" s="1" t="s">
        <v>6617</v>
      </c>
      <c r="D1086" s="2" t="s">
        <v>6618</v>
      </c>
      <c r="E1086" s="1" t="s">
        <v>20</v>
      </c>
      <c r="F1086" s="1" t="s">
        <v>36</v>
      </c>
      <c r="G1086" s="1" t="s">
        <v>1181</v>
      </c>
      <c r="H1086" s="1" t="s">
        <v>1710</v>
      </c>
      <c r="I1086" s="1" t="s">
        <v>1835</v>
      </c>
      <c r="J1086" s="2" t="s">
        <v>6619</v>
      </c>
      <c r="K1086" s="2" t="s">
        <v>6620</v>
      </c>
      <c r="L1086" s="2" t="s">
        <v>6621</v>
      </c>
      <c r="M1086" s="3" t="str">
        <f>VLOOKUP(G1086,справочник!$B$1:$C$94,2,0)</f>
        <v>МСК+4</v>
      </c>
    </row>
    <row r="1087" spans="1:13" ht="42" thickBot="1" x14ac:dyDescent="0.35">
      <c r="A1087" s="1" t="s">
        <v>261</v>
      </c>
      <c r="B1087" s="1">
        <v>1948</v>
      </c>
      <c r="C1087" s="1" t="s">
        <v>6622</v>
      </c>
      <c r="D1087" s="2" t="s">
        <v>6623</v>
      </c>
      <c r="E1087" s="1" t="s">
        <v>20</v>
      </c>
      <c r="F1087" s="1" t="s">
        <v>14</v>
      </c>
      <c r="G1087" s="1" t="s">
        <v>43</v>
      </c>
      <c r="H1087" s="1" t="s">
        <v>1334</v>
      </c>
      <c r="I1087" s="1" t="s">
        <v>6624</v>
      </c>
      <c r="J1087" s="2" t="s">
        <v>6625</v>
      </c>
      <c r="K1087" s="2" t="s">
        <v>6626</v>
      </c>
      <c r="L1087" s="2" t="s">
        <v>6627</v>
      </c>
      <c r="M1087" s="3" t="str">
        <f>VLOOKUP(G1087,справочник!$B$1:$C$94,2,0)</f>
        <v>МСК</v>
      </c>
    </row>
    <row r="1088" spans="1:13" ht="55.8" thickBot="1" x14ac:dyDescent="0.35">
      <c r="A1088" s="1" t="s">
        <v>146</v>
      </c>
      <c r="B1088" s="1">
        <v>2200</v>
      </c>
      <c r="C1088" s="1" t="s">
        <v>6628</v>
      </c>
      <c r="D1088" s="2" t="s">
        <v>6629</v>
      </c>
      <c r="E1088" s="1" t="s">
        <v>20</v>
      </c>
      <c r="F1088" s="1" t="s">
        <v>30</v>
      </c>
      <c r="G1088" s="1" t="s">
        <v>2523</v>
      </c>
      <c r="H1088" s="1" t="s">
        <v>2524</v>
      </c>
      <c r="I1088" s="1" t="s">
        <v>6631</v>
      </c>
      <c r="J1088" s="2" t="s">
        <v>6632</v>
      </c>
      <c r="K1088" s="2" t="s">
        <v>6630</v>
      </c>
      <c r="L1088" s="2" t="s">
        <v>6633</v>
      </c>
      <c r="M1088" s="3" t="str">
        <f>VLOOKUP(G1088,справочник!$B$1:$C$94,2,0)</f>
        <v>МСК</v>
      </c>
    </row>
    <row r="1089" spans="1:13" ht="55.8" thickBot="1" x14ac:dyDescent="0.35">
      <c r="A1089" s="1" t="s">
        <v>146</v>
      </c>
      <c r="B1089" s="1">
        <v>1836</v>
      </c>
      <c r="C1089" s="1" t="s">
        <v>6634</v>
      </c>
      <c r="D1089" s="2" t="s">
        <v>6635</v>
      </c>
      <c r="E1089" s="1" t="s">
        <v>20</v>
      </c>
      <c r="F1089" s="1" t="s">
        <v>14</v>
      </c>
      <c r="G1089" s="1" t="s">
        <v>15</v>
      </c>
      <c r="H1089" s="1" t="s">
        <v>16</v>
      </c>
      <c r="I1089" s="1" t="s">
        <v>3955</v>
      </c>
      <c r="J1089" s="2" t="s">
        <v>6637</v>
      </c>
      <c r="K1089" s="2" t="s">
        <v>6638</v>
      </c>
      <c r="L1089" s="2" t="s">
        <v>6636</v>
      </c>
      <c r="M1089" s="3" t="str">
        <f>VLOOKUP(G1089,справочник!$B$1:$C$94,2,0)</f>
        <v>МСК</v>
      </c>
    </row>
    <row r="1090" spans="1:13" ht="42" thickBot="1" x14ac:dyDescent="0.35">
      <c r="A1090" s="1" t="s">
        <v>146</v>
      </c>
      <c r="B1090" s="1">
        <v>1961</v>
      </c>
      <c r="C1090" s="1" t="s">
        <v>6639</v>
      </c>
      <c r="D1090" s="2" t="s">
        <v>6640</v>
      </c>
      <c r="E1090" s="1" t="s">
        <v>20</v>
      </c>
      <c r="F1090" s="1" t="s">
        <v>14</v>
      </c>
      <c r="G1090" s="1" t="s">
        <v>15</v>
      </c>
      <c r="H1090" s="1" t="s">
        <v>16</v>
      </c>
      <c r="I1090" s="1" t="s">
        <v>6642</v>
      </c>
      <c r="J1090" s="2" t="s">
        <v>6643</v>
      </c>
      <c r="K1090" s="2" t="s">
        <v>6641</v>
      </c>
      <c r="L1090" s="2" t="s">
        <v>6644</v>
      </c>
      <c r="M1090" s="3" t="str">
        <f>VLOOKUP(G1090,справочник!$B$1:$C$94,2,0)</f>
        <v>МСК</v>
      </c>
    </row>
    <row r="1091" spans="1:13" ht="55.8" thickBot="1" x14ac:dyDescent="0.35">
      <c r="A1091" s="1" t="s">
        <v>146</v>
      </c>
      <c r="B1091" s="1">
        <v>1907</v>
      </c>
      <c r="C1091" s="1" t="s">
        <v>6645</v>
      </c>
      <c r="D1091" s="2" t="s">
        <v>6646</v>
      </c>
      <c r="E1091" s="1" t="s">
        <v>20</v>
      </c>
      <c r="F1091" s="1" t="s">
        <v>14</v>
      </c>
      <c r="G1091" s="1" t="s">
        <v>43</v>
      </c>
      <c r="H1091" s="1" t="s">
        <v>2328</v>
      </c>
      <c r="I1091" s="1" t="s">
        <v>6647</v>
      </c>
      <c r="J1091" s="2" t="s">
        <v>6648</v>
      </c>
      <c r="K1091" s="2" t="s">
        <v>6649</v>
      </c>
      <c r="L1091" s="2" t="s">
        <v>6650</v>
      </c>
      <c r="M1091" s="3" t="str">
        <f>VLOOKUP(G1091,справочник!$B$1:$C$94,2,0)</f>
        <v>МСК</v>
      </c>
    </row>
    <row r="1092" spans="1:13" ht="42" thickBot="1" x14ac:dyDescent="0.35">
      <c r="A1092" s="1" t="s">
        <v>146</v>
      </c>
      <c r="B1092" s="1">
        <v>2337</v>
      </c>
      <c r="C1092" s="1" t="s">
        <v>6651</v>
      </c>
      <c r="D1092" s="2" t="s">
        <v>6652</v>
      </c>
      <c r="E1092" s="1" t="s">
        <v>20</v>
      </c>
      <c r="F1092" s="1" t="s">
        <v>47</v>
      </c>
      <c r="G1092" s="1" t="s">
        <v>6089</v>
      </c>
      <c r="H1092" s="1" t="s">
        <v>6177</v>
      </c>
      <c r="I1092" s="1" t="s">
        <v>6653</v>
      </c>
      <c r="J1092" s="2" t="s">
        <v>6654</v>
      </c>
      <c r="K1092" s="2" t="s">
        <v>6655</v>
      </c>
      <c r="L1092" s="2" t="s">
        <v>6656</v>
      </c>
      <c r="M1092" s="3" t="str">
        <f>VLOOKUP(G1092,справочник!$B$1:$C$94,2,0)</f>
        <v>МСК+2</v>
      </c>
    </row>
    <row r="1093" spans="1:13" ht="42" thickBot="1" x14ac:dyDescent="0.35">
      <c r="A1093" s="1" t="s">
        <v>146</v>
      </c>
      <c r="B1093" s="1">
        <v>2180</v>
      </c>
      <c r="C1093" s="1" t="s">
        <v>6657</v>
      </c>
      <c r="D1093" s="2" t="s">
        <v>6658</v>
      </c>
      <c r="E1093" s="1" t="s">
        <v>20</v>
      </c>
      <c r="F1093" s="1" t="s">
        <v>36</v>
      </c>
      <c r="G1093" s="1" t="s">
        <v>2996</v>
      </c>
      <c r="H1093" s="1" t="s">
        <v>2998</v>
      </c>
      <c r="I1093" s="1" t="s">
        <v>6659</v>
      </c>
      <c r="J1093" s="2" t="s">
        <v>6660</v>
      </c>
      <c r="K1093" s="2" t="s">
        <v>6661</v>
      </c>
      <c r="L1093" s="2" t="s">
        <v>6662</v>
      </c>
      <c r="M1093" s="3" t="str">
        <f>VLOOKUP(G1093,справочник!$B$1:$C$94,2,0)</f>
        <v>МСК+4</v>
      </c>
    </row>
    <row r="1094" spans="1:13" ht="42" thickBot="1" x14ac:dyDescent="0.35">
      <c r="A1094" s="1" t="s">
        <v>146</v>
      </c>
      <c r="B1094" s="1">
        <v>2606</v>
      </c>
      <c r="C1094" s="1" t="s">
        <v>6663</v>
      </c>
      <c r="D1094" s="2" t="s">
        <v>6664</v>
      </c>
      <c r="E1094" s="1" t="s">
        <v>20</v>
      </c>
      <c r="F1094" s="1" t="s">
        <v>36</v>
      </c>
      <c r="G1094" s="1" t="s">
        <v>1181</v>
      </c>
      <c r="H1094" s="1" t="s">
        <v>6667</v>
      </c>
      <c r="I1094" s="1" t="s">
        <v>6668</v>
      </c>
      <c r="J1094" s="2" t="s">
        <v>6669</v>
      </c>
      <c r="K1094" s="2" t="s">
        <v>6665</v>
      </c>
      <c r="L1094" s="2" t="s">
        <v>6666</v>
      </c>
      <c r="M1094" s="3" t="str">
        <f>VLOOKUP(G1094,справочник!$B$1:$C$94,2,0)</f>
        <v>МСК+4</v>
      </c>
    </row>
    <row r="1095" spans="1:13" ht="42" thickBot="1" x14ac:dyDescent="0.35">
      <c r="A1095" s="1" t="s">
        <v>146</v>
      </c>
      <c r="B1095" s="1">
        <v>1885</v>
      </c>
      <c r="C1095" s="1" t="s">
        <v>6670</v>
      </c>
      <c r="D1095" s="2" t="s">
        <v>6671</v>
      </c>
      <c r="E1095" s="1" t="s">
        <v>20</v>
      </c>
      <c r="F1095" s="1" t="s">
        <v>14</v>
      </c>
      <c r="G1095" s="1" t="s">
        <v>15</v>
      </c>
      <c r="H1095" s="1" t="s">
        <v>16</v>
      </c>
      <c r="I1095" s="1" t="s">
        <v>6672</v>
      </c>
      <c r="J1095" s="2" t="s">
        <v>6673</v>
      </c>
      <c r="K1095" s="2" t="s">
        <v>6674</v>
      </c>
      <c r="L1095" s="2" t="s">
        <v>6675</v>
      </c>
      <c r="M1095" s="3" t="str">
        <f>VLOOKUP(G1095,справочник!$B$1:$C$94,2,0)</f>
        <v>МСК</v>
      </c>
    </row>
    <row r="1096" spans="1:13" ht="69.599999999999994" thickBot="1" x14ac:dyDescent="0.35">
      <c r="A1096" s="1" t="s">
        <v>146</v>
      </c>
      <c r="B1096" s="1">
        <v>1968</v>
      </c>
      <c r="C1096" s="1" t="s">
        <v>6676</v>
      </c>
      <c r="D1096" s="2" t="s">
        <v>6677</v>
      </c>
      <c r="E1096" s="1" t="s">
        <v>20</v>
      </c>
      <c r="F1096" s="1" t="s">
        <v>14</v>
      </c>
      <c r="G1096" s="1" t="s">
        <v>15</v>
      </c>
      <c r="H1096" s="1" t="s">
        <v>16</v>
      </c>
      <c r="I1096" s="1" t="s">
        <v>6678</v>
      </c>
      <c r="J1096" s="2" t="s">
        <v>6679</v>
      </c>
      <c r="K1096" s="2" t="s">
        <v>6680</v>
      </c>
      <c r="L1096" s="2" t="s">
        <v>6681</v>
      </c>
      <c r="M1096" s="3" t="str">
        <f>VLOOKUP(G1096,справочник!$B$1:$C$94,2,0)</f>
        <v>МСК</v>
      </c>
    </row>
    <row r="1097" spans="1:13" ht="42" thickBot="1" x14ac:dyDescent="0.35">
      <c r="A1097" s="1" t="s">
        <v>1237</v>
      </c>
      <c r="B1097" s="1">
        <v>3455</v>
      </c>
      <c r="C1097" s="1" t="s">
        <v>6682</v>
      </c>
      <c r="D1097" s="2" t="s">
        <v>6683</v>
      </c>
      <c r="E1097" s="1" t="s">
        <v>20</v>
      </c>
      <c r="F1097" s="1" t="s">
        <v>30</v>
      </c>
      <c r="G1097" s="1" t="s">
        <v>31</v>
      </c>
      <c r="H1097" s="1" t="s">
        <v>32</v>
      </c>
      <c r="I1097" s="1" t="s">
        <v>6684</v>
      </c>
      <c r="J1097" s="2" t="s">
        <v>6685</v>
      </c>
      <c r="K1097" s="2" t="s">
        <v>6686</v>
      </c>
      <c r="L1097" s="2" t="s">
        <v>6687</v>
      </c>
      <c r="M1097" s="3" t="str">
        <f>VLOOKUP(G1097,справочник!$B$1:$C$94,2,0)</f>
        <v>МСК</v>
      </c>
    </row>
    <row r="1098" spans="1:13" ht="42" thickBot="1" x14ac:dyDescent="0.35">
      <c r="A1098" s="1" t="s">
        <v>146</v>
      </c>
      <c r="B1098" s="1">
        <v>1842</v>
      </c>
      <c r="C1098" s="1" t="s">
        <v>6688</v>
      </c>
      <c r="D1098" s="2" t="s">
        <v>6689</v>
      </c>
      <c r="E1098" s="1" t="s">
        <v>20</v>
      </c>
      <c r="F1098" s="1" t="s">
        <v>14</v>
      </c>
      <c r="G1098" s="1" t="s">
        <v>15</v>
      </c>
      <c r="H1098" s="1" t="s">
        <v>16</v>
      </c>
      <c r="I1098" s="1" t="s">
        <v>6690</v>
      </c>
      <c r="J1098" s="2" t="s">
        <v>6691</v>
      </c>
      <c r="K1098" s="2" t="s">
        <v>6692</v>
      </c>
      <c r="L1098" s="2" t="s">
        <v>6693</v>
      </c>
      <c r="M1098" s="3" t="str">
        <f>VLOOKUP(G1098,справочник!$B$1:$C$94,2,0)</f>
        <v>МСК</v>
      </c>
    </row>
    <row r="1099" spans="1:13" ht="42" thickBot="1" x14ac:dyDescent="0.35">
      <c r="A1099" s="1" t="s">
        <v>1237</v>
      </c>
      <c r="B1099" s="1">
        <v>3576</v>
      </c>
      <c r="C1099" s="1" t="s">
        <v>6694</v>
      </c>
      <c r="D1099" s="2" t="s">
        <v>6695</v>
      </c>
      <c r="E1099" s="1" t="s">
        <v>104</v>
      </c>
      <c r="F1099" s="1" t="s">
        <v>14</v>
      </c>
      <c r="G1099" s="1" t="s">
        <v>15</v>
      </c>
      <c r="H1099" s="1" t="s">
        <v>16</v>
      </c>
      <c r="I1099" s="1" t="s">
        <v>3975</v>
      </c>
      <c r="J1099" s="2" t="s">
        <v>4973</v>
      </c>
      <c r="K1099" s="2" t="s">
        <v>6696</v>
      </c>
      <c r="L1099" s="2" t="s">
        <v>6697</v>
      </c>
      <c r="M1099" s="3" t="str">
        <f>VLOOKUP(G1099,справочник!$B$1:$C$94,2,0)</f>
        <v>МСК</v>
      </c>
    </row>
    <row r="1100" spans="1:13" ht="55.8" thickBot="1" x14ac:dyDescent="0.35">
      <c r="A1100" s="1" t="s">
        <v>1237</v>
      </c>
      <c r="B1100" s="1">
        <v>3435</v>
      </c>
      <c r="C1100" s="1" t="s">
        <v>6698</v>
      </c>
      <c r="D1100" s="2" t="s">
        <v>6699</v>
      </c>
      <c r="E1100" s="1" t="s">
        <v>20</v>
      </c>
      <c r="F1100" s="1" t="s">
        <v>14</v>
      </c>
      <c r="G1100" s="1" t="s">
        <v>15</v>
      </c>
      <c r="H1100" s="1" t="s">
        <v>16</v>
      </c>
      <c r="I1100" s="1" t="s">
        <v>6701</v>
      </c>
      <c r="J1100" s="2" t="s">
        <v>2205</v>
      </c>
      <c r="K1100" s="2" t="s">
        <v>6702</v>
      </c>
      <c r="L1100" s="2" t="s">
        <v>6700</v>
      </c>
      <c r="M1100" s="3" t="str">
        <f>VLOOKUP(G1100,справочник!$B$1:$C$94,2,0)</f>
        <v>МСК</v>
      </c>
    </row>
    <row r="1101" spans="1:13" ht="42" thickBot="1" x14ac:dyDescent="0.35">
      <c r="A1101" s="1" t="s">
        <v>6453</v>
      </c>
      <c r="B1101" s="1">
        <v>3605</v>
      </c>
      <c r="C1101" s="1" t="s">
        <v>6703</v>
      </c>
      <c r="D1101" s="2" t="s">
        <v>6704</v>
      </c>
      <c r="E1101" s="1" t="s">
        <v>20</v>
      </c>
      <c r="F1101" s="1" t="s">
        <v>30</v>
      </c>
      <c r="G1101" s="1" t="s">
        <v>31</v>
      </c>
      <c r="H1101" s="1" t="s">
        <v>32</v>
      </c>
      <c r="I1101" s="1" t="s">
        <v>6705</v>
      </c>
      <c r="J1101" s="2" t="s">
        <v>6706</v>
      </c>
      <c r="K1101" s="2" t="s">
        <v>6707</v>
      </c>
      <c r="L1101" s="2" t="s">
        <v>6708</v>
      </c>
      <c r="M1101" s="3" t="str">
        <f>VLOOKUP(G1101,справочник!$B$1:$C$94,2,0)</f>
        <v>МСК</v>
      </c>
    </row>
    <row r="1102" spans="1:13" ht="42" thickBot="1" x14ac:dyDescent="0.35">
      <c r="A1102" s="1" t="s">
        <v>146</v>
      </c>
      <c r="B1102" s="1">
        <v>2060</v>
      </c>
      <c r="C1102" s="1" t="s">
        <v>6709</v>
      </c>
      <c r="D1102" s="2" t="s">
        <v>6710</v>
      </c>
      <c r="E1102" s="1" t="s">
        <v>20</v>
      </c>
      <c r="F1102" s="1" t="s">
        <v>14</v>
      </c>
      <c r="G1102" s="1" t="s">
        <v>15</v>
      </c>
      <c r="H1102" s="1" t="s">
        <v>16</v>
      </c>
      <c r="I1102" s="1" t="s">
        <v>6711</v>
      </c>
      <c r="J1102" s="2" t="s">
        <v>2481</v>
      </c>
      <c r="K1102" s="2" t="s">
        <v>6712</v>
      </c>
      <c r="L1102" s="2" t="s">
        <v>6713</v>
      </c>
      <c r="M1102" s="3" t="str">
        <f>VLOOKUP(G1102,справочник!$B$1:$C$94,2,0)</f>
        <v>МСК</v>
      </c>
    </row>
    <row r="1103" spans="1:13" ht="42" thickBot="1" x14ac:dyDescent="0.35">
      <c r="A1103" s="1" t="s">
        <v>146</v>
      </c>
      <c r="B1103" s="1">
        <v>1828</v>
      </c>
      <c r="C1103" s="1" t="s">
        <v>6714</v>
      </c>
      <c r="D1103" s="2" t="s">
        <v>6715</v>
      </c>
      <c r="E1103" s="1" t="s">
        <v>20</v>
      </c>
      <c r="F1103" s="1" t="s">
        <v>14</v>
      </c>
      <c r="G1103" s="1" t="s">
        <v>15</v>
      </c>
      <c r="H1103" s="1" t="s">
        <v>16</v>
      </c>
      <c r="I1103" s="1" t="s">
        <v>6717</v>
      </c>
      <c r="J1103" s="2" t="s">
        <v>6718</v>
      </c>
      <c r="K1103" s="2" t="s">
        <v>6719</v>
      </c>
      <c r="L1103" s="2" t="s">
        <v>6716</v>
      </c>
      <c r="M1103" s="3" t="str">
        <f>VLOOKUP(G1103,справочник!$B$1:$C$94,2,0)</f>
        <v>МСК</v>
      </c>
    </row>
    <row r="1104" spans="1:13" ht="42" thickBot="1" x14ac:dyDescent="0.35">
      <c r="A1104" s="1" t="s">
        <v>261</v>
      </c>
      <c r="B1104" s="1">
        <v>2067</v>
      </c>
      <c r="C1104" s="1" t="s">
        <v>6720</v>
      </c>
      <c r="D1104" s="2" t="s">
        <v>6721</v>
      </c>
      <c r="E1104" s="1" t="s">
        <v>20</v>
      </c>
      <c r="F1104" s="1" t="s">
        <v>14</v>
      </c>
      <c r="G1104" s="1" t="s">
        <v>43</v>
      </c>
      <c r="H1104" s="1" t="s">
        <v>4943</v>
      </c>
      <c r="I1104" s="1" t="s">
        <v>6723</v>
      </c>
      <c r="J1104" s="2" t="s">
        <v>394</v>
      </c>
      <c r="K1104" s="2" t="s">
        <v>6724</v>
      </c>
      <c r="L1104" s="2" t="s">
        <v>6722</v>
      </c>
      <c r="M1104" s="3" t="str">
        <f>VLOOKUP(G1104,справочник!$B$1:$C$94,2,0)</f>
        <v>МСК</v>
      </c>
    </row>
    <row r="1105" spans="1:13" ht="55.8" thickBot="1" x14ac:dyDescent="0.35">
      <c r="A1105" s="1" t="s">
        <v>261</v>
      </c>
      <c r="B1105" s="1">
        <v>1952</v>
      </c>
      <c r="C1105" s="1" t="s">
        <v>6725</v>
      </c>
      <c r="D1105" s="2" t="s">
        <v>6726</v>
      </c>
      <c r="E1105" s="1" t="s">
        <v>20</v>
      </c>
      <c r="F1105" s="1" t="s">
        <v>21</v>
      </c>
      <c r="G1105" s="1" t="s">
        <v>199</v>
      </c>
      <c r="H1105" s="1" t="s">
        <v>200</v>
      </c>
      <c r="I1105" s="1" t="s">
        <v>6727</v>
      </c>
      <c r="J1105" s="2" t="s">
        <v>6728</v>
      </c>
      <c r="K1105" s="2" t="s">
        <v>6729</v>
      </c>
      <c r="L1105" s="2" t="s">
        <v>6730</v>
      </c>
      <c r="M1105" s="3" t="str">
        <f>VLOOKUP(G1105,справочник!$B$1:$C$94,2,0)</f>
        <v>МСК</v>
      </c>
    </row>
    <row r="1106" spans="1:13" ht="42" thickBot="1" x14ac:dyDescent="0.35">
      <c r="A1106" s="1" t="s">
        <v>146</v>
      </c>
      <c r="B1106" s="1">
        <v>2096</v>
      </c>
      <c r="C1106" s="1" t="s">
        <v>6731</v>
      </c>
      <c r="D1106" s="2" t="s">
        <v>6732</v>
      </c>
      <c r="E1106" s="1" t="s">
        <v>20</v>
      </c>
      <c r="F1106" s="1" t="s">
        <v>109</v>
      </c>
      <c r="G1106" s="1" t="s">
        <v>1052</v>
      </c>
      <c r="H1106" s="1" t="s">
        <v>1054</v>
      </c>
      <c r="I1106" s="1" t="s">
        <v>6734</v>
      </c>
      <c r="J1106" s="2" t="s">
        <v>1923</v>
      </c>
      <c r="K1106" s="2" t="s">
        <v>6735</v>
      </c>
      <c r="L1106" s="2" t="s">
        <v>6733</v>
      </c>
      <c r="M1106" s="3" t="str">
        <f>VLOOKUP(G1106,справочник!$B$1:$C$94,2,0)</f>
        <v>МСК</v>
      </c>
    </row>
    <row r="1107" spans="1:13" ht="69.599999999999994" thickBot="1" x14ac:dyDescent="0.35">
      <c r="A1107" s="1" t="s">
        <v>146</v>
      </c>
      <c r="B1107" s="1">
        <v>1835</v>
      </c>
      <c r="C1107" s="1" t="s">
        <v>6736</v>
      </c>
      <c r="D1107" s="2" t="s">
        <v>6737</v>
      </c>
      <c r="E1107" s="1" t="s">
        <v>20</v>
      </c>
      <c r="F1107" s="1" t="s">
        <v>14</v>
      </c>
      <c r="G1107" s="1" t="s">
        <v>15</v>
      </c>
      <c r="H1107" s="1" t="s">
        <v>16</v>
      </c>
      <c r="I1107" s="1" t="s">
        <v>6739</v>
      </c>
      <c r="J1107" s="2" t="s">
        <v>1096</v>
      </c>
      <c r="K1107" s="2" t="s">
        <v>6740</v>
      </c>
      <c r="L1107" s="2" t="s">
        <v>6738</v>
      </c>
      <c r="M1107" s="3" t="str">
        <f>VLOOKUP(G1107,справочник!$B$1:$C$94,2,0)</f>
        <v>МСК</v>
      </c>
    </row>
    <row r="1108" spans="1:13" ht="42" thickBot="1" x14ac:dyDescent="0.35">
      <c r="A1108" s="1" t="s">
        <v>146</v>
      </c>
      <c r="B1108" s="1">
        <v>1816</v>
      </c>
      <c r="C1108" s="1" t="s">
        <v>6741</v>
      </c>
      <c r="D1108" s="2" t="s">
        <v>6742</v>
      </c>
      <c r="E1108" s="1" t="s">
        <v>20</v>
      </c>
      <c r="F1108" s="1" t="s">
        <v>114</v>
      </c>
      <c r="G1108" s="1" t="s">
        <v>121</v>
      </c>
      <c r="H1108" s="1" t="s">
        <v>6744</v>
      </c>
      <c r="I1108" s="1" t="s">
        <v>6745</v>
      </c>
      <c r="J1108" s="2" t="s">
        <v>6746</v>
      </c>
      <c r="K1108" s="2" t="s">
        <v>6747</v>
      </c>
      <c r="L1108" s="2" t="s">
        <v>6743</v>
      </c>
      <c r="M1108" s="3" t="str">
        <f>VLOOKUP(G1108,справочник!$B$1:$C$94,2,0)</f>
        <v>МСК+7</v>
      </c>
    </row>
    <row r="1109" spans="1:13" ht="55.8" thickBot="1" x14ac:dyDescent="0.35">
      <c r="A1109" s="1" t="s">
        <v>146</v>
      </c>
      <c r="B1109" s="1">
        <v>2062</v>
      </c>
      <c r="C1109" s="1" t="s">
        <v>6748</v>
      </c>
      <c r="D1109" s="2" t="s">
        <v>6749</v>
      </c>
      <c r="E1109" s="1" t="s">
        <v>20</v>
      </c>
      <c r="F1109" s="1" t="s">
        <v>21</v>
      </c>
      <c r="G1109" s="1" t="s">
        <v>673</v>
      </c>
      <c r="H1109" s="1" t="s">
        <v>674</v>
      </c>
      <c r="I1109" s="1" t="s">
        <v>6751</v>
      </c>
      <c r="J1109" s="2" t="s">
        <v>2651</v>
      </c>
      <c r="K1109" s="2" t="s">
        <v>6752</v>
      </c>
      <c r="L1109" s="2" t="s">
        <v>6750</v>
      </c>
      <c r="M1109" s="3" t="str">
        <f>VLOOKUP(G1109,справочник!$B$1:$C$94,2,0)</f>
        <v>МСК+1</v>
      </c>
    </row>
    <row r="1110" spans="1:13" ht="42" thickBot="1" x14ac:dyDescent="0.35">
      <c r="A1110" s="1" t="s">
        <v>146</v>
      </c>
      <c r="B1110" s="1">
        <v>2185</v>
      </c>
      <c r="C1110" s="1" t="s">
        <v>6753</v>
      </c>
      <c r="D1110" s="2" t="s">
        <v>6754</v>
      </c>
      <c r="E1110" s="1" t="s">
        <v>20</v>
      </c>
      <c r="F1110" s="1" t="s">
        <v>222</v>
      </c>
      <c r="G1110" s="1" t="s">
        <v>4629</v>
      </c>
      <c r="H1110" s="1" t="s">
        <v>4631</v>
      </c>
      <c r="I1110" s="1" t="s">
        <v>6755</v>
      </c>
      <c r="J1110" s="2" t="s">
        <v>6756</v>
      </c>
      <c r="K1110" s="2" t="s">
        <v>6757</v>
      </c>
      <c r="L1110" s="2" t="s">
        <v>6758</v>
      </c>
      <c r="M1110" s="3" t="str">
        <f>VLOOKUP(G1110,справочник!$B$1:$C$94,2,0)</f>
        <v>МСК+2</v>
      </c>
    </row>
    <row r="1111" spans="1:13" ht="42" thickBot="1" x14ac:dyDescent="0.35">
      <c r="A1111" s="1" t="s">
        <v>146</v>
      </c>
      <c r="B1111" s="1">
        <v>2123</v>
      </c>
      <c r="C1111" s="1" t="s">
        <v>6759</v>
      </c>
      <c r="D1111" s="2" t="s">
        <v>6760</v>
      </c>
      <c r="E1111" s="1" t="s">
        <v>20</v>
      </c>
      <c r="F1111" s="1" t="s">
        <v>21</v>
      </c>
      <c r="G1111" s="1" t="s">
        <v>199</v>
      </c>
      <c r="H1111" s="1" t="s">
        <v>200</v>
      </c>
      <c r="I1111" s="1" t="s">
        <v>6762</v>
      </c>
      <c r="J1111" s="2" t="s">
        <v>6763</v>
      </c>
      <c r="K1111" s="2" t="s">
        <v>6764</v>
      </c>
      <c r="L1111" s="2" t="s">
        <v>6761</v>
      </c>
      <c r="M1111" s="3" t="str">
        <f>VLOOKUP(G1111,справочник!$B$1:$C$94,2,0)</f>
        <v>МСК</v>
      </c>
    </row>
    <row r="1112" spans="1:13" ht="55.8" thickBot="1" x14ac:dyDescent="0.35">
      <c r="A1112" s="1" t="s">
        <v>146</v>
      </c>
      <c r="B1112" s="1">
        <v>2203</v>
      </c>
      <c r="C1112" s="1" t="s">
        <v>6765</v>
      </c>
      <c r="D1112" s="2" t="s">
        <v>6766</v>
      </c>
      <c r="E1112" s="1" t="s">
        <v>20</v>
      </c>
      <c r="F1112" s="1" t="s">
        <v>114</v>
      </c>
      <c r="G1112" s="1" t="s">
        <v>121</v>
      </c>
      <c r="H1112" s="1" t="s">
        <v>122</v>
      </c>
      <c r="I1112" s="1" t="s">
        <v>2638</v>
      </c>
      <c r="J1112" s="2" t="s">
        <v>6768</v>
      </c>
      <c r="K1112" s="2" t="s">
        <v>6769</v>
      </c>
      <c r="L1112" s="2" t="s">
        <v>6767</v>
      </c>
      <c r="M1112" s="3" t="str">
        <f>VLOOKUP(G1112,справочник!$B$1:$C$94,2,0)</f>
        <v>МСК+7</v>
      </c>
    </row>
    <row r="1113" spans="1:13" ht="42" thickBot="1" x14ac:dyDescent="0.35">
      <c r="A1113" s="1" t="s">
        <v>12</v>
      </c>
      <c r="B1113" s="1">
        <v>3406</v>
      </c>
      <c r="C1113" s="1" t="s">
        <v>6770</v>
      </c>
      <c r="D1113" s="2" t="s">
        <v>6771</v>
      </c>
      <c r="E1113" s="1" t="s">
        <v>20</v>
      </c>
      <c r="F1113" s="1" t="s">
        <v>14</v>
      </c>
      <c r="G1113" s="1" t="s">
        <v>43</v>
      </c>
      <c r="H1113" s="1" t="s">
        <v>3063</v>
      </c>
      <c r="I1113" s="1" t="s">
        <v>6772</v>
      </c>
      <c r="J1113" s="2" t="s">
        <v>6773</v>
      </c>
      <c r="K1113" s="2" t="s">
        <v>6774</v>
      </c>
      <c r="L1113" s="2" t="s">
        <v>6775</v>
      </c>
      <c r="M1113" s="3" t="str">
        <f>VLOOKUP(G1113,справочник!$B$1:$C$94,2,0)</f>
        <v>МСК</v>
      </c>
    </row>
    <row r="1114" spans="1:13" ht="42" thickBot="1" x14ac:dyDescent="0.35">
      <c r="A1114" s="1" t="s">
        <v>146</v>
      </c>
      <c r="B1114" s="1">
        <v>2751</v>
      </c>
      <c r="C1114" s="1" t="s">
        <v>6776</v>
      </c>
      <c r="D1114" s="2" t="s">
        <v>6777</v>
      </c>
      <c r="E1114" s="1" t="s">
        <v>20</v>
      </c>
      <c r="F1114" s="1" t="s">
        <v>14</v>
      </c>
      <c r="G1114" s="1" t="s">
        <v>15</v>
      </c>
      <c r="H1114" s="1" t="s">
        <v>16</v>
      </c>
      <c r="I1114" s="1" t="s">
        <v>6778</v>
      </c>
      <c r="J1114" s="2" t="s">
        <v>381</v>
      </c>
      <c r="K1114" s="2" t="s">
        <v>6779</v>
      </c>
      <c r="L1114" s="2" t="s">
        <v>6780</v>
      </c>
      <c r="M1114" s="3" t="str">
        <f>VLOOKUP(G1114,справочник!$B$1:$C$94,2,0)</f>
        <v>МСК</v>
      </c>
    </row>
    <row r="1115" spans="1:13" ht="42" thickBot="1" x14ac:dyDescent="0.35">
      <c r="A1115" s="1" t="s">
        <v>146</v>
      </c>
      <c r="B1115" s="1">
        <v>2972</v>
      </c>
      <c r="C1115" s="1" t="s">
        <v>6781</v>
      </c>
      <c r="D1115" s="2" t="s">
        <v>6782</v>
      </c>
      <c r="E1115" s="1" t="s">
        <v>20</v>
      </c>
      <c r="F1115" s="1" t="s">
        <v>14</v>
      </c>
      <c r="G1115" s="1" t="s">
        <v>1015</v>
      </c>
      <c r="H1115" s="1" t="s">
        <v>6784</v>
      </c>
      <c r="I1115" s="1" t="s">
        <v>6785</v>
      </c>
      <c r="J1115" s="2" t="s">
        <v>6786</v>
      </c>
      <c r="K1115" s="2" t="s">
        <v>6787</v>
      </c>
      <c r="L1115" s="2" t="s">
        <v>6783</v>
      </c>
      <c r="M1115" s="3" t="str">
        <f>VLOOKUP(G1115,справочник!$B$1:$C$94,2,0)</f>
        <v>МСК</v>
      </c>
    </row>
    <row r="1116" spans="1:13" ht="42" thickBot="1" x14ac:dyDescent="0.35">
      <c r="A1116" s="1" t="s">
        <v>146</v>
      </c>
      <c r="B1116" s="1">
        <v>2285</v>
      </c>
      <c r="C1116" s="1" t="s">
        <v>6788</v>
      </c>
      <c r="D1116" s="2" t="s">
        <v>6789</v>
      </c>
      <c r="E1116" s="1" t="s">
        <v>20</v>
      </c>
      <c r="F1116" s="1" t="s">
        <v>14</v>
      </c>
      <c r="G1116" s="1" t="s">
        <v>960</v>
      </c>
      <c r="H1116" s="1" t="s">
        <v>3473</v>
      </c>
      <c r="I1116" s="1" t="s">
        <v>6791</v>
      </c>
      <c r="J1116" s="2" t="s">
        <v>2795</v>
      </c>
      <c r="K1116" s="2" t="s">
        <v>6792</v>
      </c>
      <c r="L1116" s="2" t="s">
        <v>6790</v>
      </c>
      <c r="M1116" s="3" t="str">
        <f>VLOOKUP(G1116,справочник!$B$1:$C$94,2,0)</f>
        <v>МСК</v>
      </c>
    </row>
    <row r="1117" spans="1:13" ht="55.8" thickBot="1" x14ac:dyDescent="0.35">
      <c r="A1117" s="1" t="s">
        <v>146</v>
      </c>
      <c r="B1117" s="1">
        <v>1926</v>
      </c>
      <c r="C1117" s="1" t="s">
        <v>6793</v>
      </c>
      <c r="D1117" s="2" t="s">
        <v>6794</v>
      </c>
      <c r="E1117" s="1" t="s">
        <v>20</v>
      </c>
      <c r="F1117" s="1" t="s">
        <v>14</v>
      </c>
      <c r="G1117" s="1" t="s">
        <v>15</v>
      </c>
      <c r="H1117" s="1" t="s">
        <v>16</v>
      </c>
      <c r="I1117" s="1" t="s">
        <v>6796</v>
      </c>
      <c r="J1117" s="2" t="s">
        <v>6797</v>
      </c>
      <c r="K1117" s="2" t="s">
        <v>6798</v>
      </c>
      <c r="L1117" s="2" t="s">
        <v>6795</v>
      </c>
      <c r="M1117" s="3" t="str">
        <f>VLOOKUP(G1117,справочник!$B$1:$C$94,2,0)</f>
        <v>МСК</v>
      </c>
    </row>
    <row r="1118" spans="1:13" ht="42" thickBot="1" x14ac:dyDescent="0.35">
      <c r="A1118" s="1" t="s">
        <v>146</v>
      </c>
      <c r="B1118" s="1">
        <v>2844</v>
      </c>
      <c r="C1118" s="1" t="s">
        <v>6799</v>
      </c>
      <c r="D1118" s="2" t="s">
        <v>6800</v>
      </c>
      <c r="E1118" s="1" t="s">
        <v>20</v>
      </c>
      <c r="F1118" s="1" t="s">
        <v>14</v>
      </c>
      <c r="G1118" s="1" t="s">
        <v>43</v>
      </c>
      <c r="H1118" s="1" t="s">
        <v>6802</v>
      </c>
      <c r="I1118" s="1" t="s">
        <v>6803</v>
      </c>
      <c r="J1118" s="2" t="s">
        <v>6804</v>
      </c>
      <c r="K1118" s="2" t="s">
        <v>6805</v>
      </c>
      <c r="L1118" s="2" t="s">
        <v>6801</v>
      </c>
      <c r="M1118" s="3" t="str">
        <f>VLOOKUP(G1118,справочник!$B$1:$C$94,2,0)</f>
        <v>МСК</v>
      </c>
    </row>
    <row r="1119" spans="1:13" ht="42" thickBot="1" x14ac:dyDescent="0.35">
      <c r="A1119" s="1" t="s">
        <v>146</v>
      </c>
      <c r="B1119" s="1">
        <v>2197</v>
      </c>
      <c r="C1119" s="1" t="s">
        <v>6806</v>
      </c>
      <c r="D1119" s="2" t="s">
        <v>6807</v>
      </c>
      <c r="E1119" s="1" t="s">
        <v>20</v>
      </c>
      <c r="F1119" s="1" t="s">
        <v>14</v>
      </c>
      <c r="G1119" s="1" t="s">
        <v>665</v>
      </c>
      <c r="H1119" s="1" t="s">
        <v>666</v>
      </c>
      <c r="I1119" s="1" t="s">
        <v>6809</v>
      </c>
      <c r="J1119" s="2" t="s">
        <v>1373</v>
      </c>
      <c r="K1119" s="2" t="s">
        <v>6810</v>
      </c>
      <c r="L1119" s="2" t="s">
        <v>6808</v>
      </c>
      <c r="M1119" s="3" t="str">
        <f>VLOOKUP(G1119,справочник!$B$1:$C$94,2,0)</f>
        <v>МСК</v>
      </c>
    </row>
    <row r="1120" spans="1:13" ht="42" thickBot="1" x14ac:dyDescent="0.35">
      <c r="A1120" s="1" t="s">
        <v>17</v>
      </c>
      <c r="B1120" s="1">
        <v>3436</v>
      </c>
      <c r="C1120" s="1" t="s">
        <v>6811</v>
      </c>
      <c r="D1120" s="2" t="s">
        <v>6812</v>
      </c>
      <c r="E1120" s="1" t="s">
        <v>20</v>
      </c>
      <c r="F1120" s="1" t="s">
        <v>222</v>
      </c>
      <c r="G1120" s="1" t="s">
        <v>1637</v>
      </c>
      <c r="H1120" s="1" t="s">
        <v>1638</v>
      </c>
      <c r="I1120" s="1" t="s">
        <v>6815</v>
      </c>
      <c r="J1120" s="2" t="s">
        <v>6816</v>
      </c>
      <c r="K1120" s="2" t="s">
        <v>6813</v>
      </c>
      <c r="L1120" s="2" t="s">
        <v>6814</v>
      </c>
      <c r="M1120" s="3" t="str">
        <f>VLOOKUP(G1120,справочник!$B$1:$C$94,2,0)</f>
        <v>МСК+2</v>
      </c>
    </row>
    <row r="1121" spans="1:13" ht="42" thickBot="1" x14ac:dyDescent="0.35">
      <c r="A1121" s="1" t="s">
        <v>62</v>
      </c>
      <c r="B1121" s="1">
        <v>1920</v>
      </c>
      <c r="C1121" s="1" t="s">
        <v>6817</v>
      </c>
      <c r="D1121" s="2" t="s">
        <v>6818</v>
      </c>
      <c r="E1121" s="1" t="s">
        <v>20</v>
      </c>
      <c r="F1121" s="1" t="s">
        <v>14</v>
      </c>
      <c r="G1121" s="1" t="s">
        <v>15</v>
      </c>
      <c r="H1121" s="1" t="s">
        <v>16</v>
      </c>
      <c r="I1121" s="1" t="s">
        <v>6820</v>
      </c>
      <c r="J1121" s="2" t="s">
        <v>6821</v>
      </c>
      <c r="K1121" s="2" t="s">
        <v>6819</v>
      </c>
      <c r="L1121" s="2" t="s">
        <v>6822</v>
      </c>
      <c r="M1121" s="3" t="str">
        <f>VLOOKUP(G1121,справочник!$B$1:$C$94,2,0)</f>
        <v>МСК</v>
      </c>
    </row>
    <row r="1122" spans="1:13" ht="42" thickBot="1" x14ac:dyDescent="0.35">
      <c r="A1122" s="1" t="s">
        <v>146</v>
      </c>
      <c r="B1122" s="1">
        <v>1905</v>
      </c>
      <c r="C1122" s="1" t="s">
        <v>6823</v>
      </c>
      <c r="D1122" s="2" t="s">
        <v>6824</v>
      </c>
      <c r="E1122" s="1" t="s">
        <v>20</v>
      </c>
      <c r="F1122" s="1" t="s">
        <v>14</v>
      </c>
      <c r="G1122" s="1" t="s">
        <v>43</v>
      </c>
      <c r="H1122" s="1" t="s">
        <v>6826</v>
      </c>
      <c r="I1122" s="1" t="s">
        <v>6827</v>
      </c>
      <c r="J1122" s="2" t="s">
        <v>5637</v>
      </c>
      <c r="K1122" s="2" t="s">
        <v>6828</v>
      </c>
      <c r="L1122" s="2" t="s">
        <v>6825</v>
      </c>
      <c r="M1122" s="3" t="str">
        <f>VLOOKUP(G1122,справочник!$B$1:$C$94,2,0)</f>
        <v>МСК</v>
      </c>
    </row>
    <row r="1123" spans="1:13" ht="42" thickBot="1" x14ac:dyDescent="0.35">
      <c r="A1123" s="1" t="s">
        <v>146</v>
      </c>
      <c r="B1123" s="1">
        <v>2448</v>
      </c>
      <c r="C1123" s="1" t="s">
        <v>6829</v>
      </c>
      <c r="D1123" s="2" t="s">
        <v>6830</v>
      </c>
      <c r="E1123" s="1" t="s">
        <v>20</v>
      </c>
      <c r="F1123" s="1" t="s">
        <v>14</v>
      </c>
      <c r="G1123" s="1" t="s">
        <v>15</v>
      </c>
      <c r="H1123" s="1" t="s">
        <v>1764</v>
      </c>
      <c r="I1123" s="1" t="s">
        <v>6832</v>
      </c>
      <c r="J1123" s="2" t="s">
        <v>232</v>
      </c>
      <c r="K1123" s="2" t="s">
        <v>6833</v>
      </c>
      <c r="L1123" s="2" t="s">
        <v>6831</v>
      </c>
      <c r="M1123" s="3" t="str">
        <f>VLOOKUP(G1123,справочник!$B$1:$C$94,2,0)</f>
        <v>МСК</v>
      </c>
    </row>
    <row r="1124" spans="1:13" ht="42" thickBot="1" x14ac:dyDescent="0.35">
      <c r="A1124" s="1" t="s">
        <v>146</v>
      </c>
      <c r="B1124" s="1">
        <v>332</v>
      </c>
      <c r="C1124" s="1" t="s">
        <v>6834</v>
      </c>
      <c r="D1124" s="2" t="s">
        <v>6835</v>
      </c>
      <c r="E1124" s="1" t="s">
        <v>20</v>
      </c>
      <c r="F1124" s="1" t="s">
        <v>14</v>
      </c>
      <c r="G1124" s="1" t="s">
        <v>15</v>
      </c>
      <c r="H1124" s="1" t="s">
        <v>16</v>
      </c>
      <c r="I1124" s="1" t="s">
        <v>6836</v>
      </c>
      <c r="J1124" s="2" t="s">
        <v>1923</v>
      </c>
      <c r="K1124" s="2" t="s">
        <v>6837</v>
      </c>
      <c r="L1124" s="2" t="s">
        <v>6838</v>
      </c>
      <c r="M1124" s="3" t="str">
        <f>VLOOKUP(G1124,справочник!$B$1:$C$94,2,0)</f>
        <v>МСК</v>
      </c>
    </row>
    <row r="1125" spans="1:13" ht="42" thickBot="1" x14ac:dyDescent="0.35">
      <c r="A1125" s="1" t="s">
        <v>261</v>
      </c>
      <c r="B1125" s="1">
        <v>1910</v>
      </c>
      <c r="C1125" s="1" t="s">
        <v>6839</v>
      </c>
      <c r="D1125" s="2" t="s">
        <v>6840</v>
      </c>
      <c r="E1125" s="1" t="s">
        <v>20</v>
      </c>
      <c r="F1125" s="1" t="s">
        <v>21</v>
      </c>
      <c r="G1125" s="1" t="s">
        <v>199</v>
      </c>
      <c r="H1125" s="1" t="s">
        <v>200</v>
      </c>
      <c r="I1125" s="1" t="s">
        <v>6842</v>
      </c>
      <c r="J1125" s="2" t="s">
        <v>6843</v>
      </c>
      <c r="K1125" s="2" t="s">
        <v>6844</v>
      </c>
      <c r="L1125" s="2" t="s">
        <v>6841</v>
      </c>
      <c r="M1125" s="3" t="str">
        <f>VLOOKUP(G1125,справочник!$B$1:$C$94,2,0)</f>
        <v>МСК</v>
      </c>
    </row>
    <row r="1126" spans="1:13" ht="42" thickBot="1" x14ac:dyDescent="0.35">
      <c r="A1126" s="1" t="s">
        <v>621</v>
      </c>
      <c r="B1126" s="1">
        <v>3625</v>
      </c>
      <c r="C1126" s="1" t="s">
        <v>6845</v>
      </c>
      <c r="D1126" s="2" t="s">
        <v>6846</v>
      </c>
      <c r="E1126" s="1" t="s">
        <v>104</v>
      </c>
      <c r="F1126" s="1" t="s">
        <v>14</v>
      </c>
      <c r="G1126" s="1" t="s">
        <v>15</v>
      </c>
      <c r="H1126" s="1" t="s">
        <v>16</v>
      </c>
      <c r="I1126" s="1" t="s">
        <v>6848</v>
      </c>
      <c r="J1126" s="2" t="s">
        <v>4565</v>
      </c>
      <c r="K1126" s="2" t="s">
        <v>6849</v>
      </c>
      <c r="L1126" s="2" t="s">
        <v>6847</v>
      </c>
      <c r="M1126" s="3" t="str">
        <f>VLOOKUP(G1126,справочник!$B$1:$C$94,2,0)</f>
        <v>МСК</v>
      </c>
    </row>
    <row r="1127" spans="1:13" ht="69.599999999999994" thickBot="1" x14ac:dyDescent="0.35">
      <c r="A1127" s="1" t="s">
        <v>146</v>
      </c>
      <c r="B1127" s="1">
        <v>2196</v>
      </c>
      <c r="C1127" s="1" t="s">
        <v>6850</v>
      </c>
      <c r="D1127" s="2" t="s">
        <v>6851</v>
      </c>
      <c r="E1127" s="1" t="s">
        <v>20</v>
      </c>
      <c r="F1127" s="1" t="s">
        <v>14</v>
      </c>
      <c r="G1127" s="1" t="s">
        <v>15</v>
      </c>
      <c r="H1127" s="1" t="s">
        <v>16</v>
      </c>
      <c r="I1127" s="1" t="s">
        <v>6852</v>
      </c>
      <c r="J1127" s="2" t="s">
        <v>4565</v>
      </c>
      <c r="K1127" s="2" t="s">
        <v>6853</v>
      </c>
      <c r="L1127" s="2" t="s">
        <v>6854</v>
      </c>
      <c r="M1127" s="3" t="str">
        <f>VLOOKUP(G1127,справочник!$B$1:$C$94,2,0)</f>
        <v>МСК</v>
      </c>
    </row>
    <row r="1128" spans="1:13" ht="42" thickBot="1" x14ac:dyDescent="0.35">
      <c r="A1128" s="1" t="s">
        <v>146</v>
      </c>
      <c r="B1128" s="1">
        <v>2030</v>
      </c>
      <c r="C1128" s="1" t="s">
        <v>6855</v>
      </c>
      <c r="D1128" s="2" t="s">
        <v>6856</v>
      </c>
      <c r="E1128" s="1" t="s">
        <v>20</v>
      </c>
      <c r="F1128" s="1" t="s">
        <v>21</v>
      </c>
      <c r="G1128" s="1" t="s">
        <v>22</v>
      </c>
      <c r="H1128" s="1" t="s">
        <v>6857</v>
      </c>
      <c r="I1128" s="1" t="s">
        <v>6858</v>
      </c>
      <c r="J1128" s="2" t="s">
        <v>6859</v>
      </c>
      <c r="K1128" s="2" t="s">
        <v>6860</v>
      </c>
      <c r="L1128" s="2" t="s">
        <v>6861</v>
      </c>
      <c r="M1128" s="3" t="str">
        <f>VLOOKUP(G1128,справочник!$B$1:$C$94,2,0)</f>
        <v>МСК</v>
      </c>
    </row>
    <row r="1129" spans="1:13" ht="42" thickBot="1" x14ac:dyDescent="0.35">
      <c r="A1129" s="1" t="s">
        <v>906</v>
      </c>
      <c r="B1129" s="1">
        <v>3630</v>
      </c>
      <c r="C1129" s="1" t="s">
        <v>6862</v>
      </c>
      <c r="D1129" s="2" t="s">
        <v>6863</v>
      </c>
      <c r="E1129" s="1" t="s">
        <v>20</v>
      </c>
      <c r="F1129" s="1" t="s">
        <v>14</v>
      </c>
      <c r="G1129" s="1" t="s">
        <v>637</v>
      </c>
      <c r="H1129" s="1" t="s">
        <v>660</v>
      </c>
      <c r="I1129" s="1" t="s">
        <v>6864</v>
      </c>
      <c r="J1129" s="2" t="s">
        <v>6865</v>
      </c>
      <c r="K1129" s="2" t="s">
        <v>6866</v>
      </c>
      <c r="L1129" s="2" t="s">
        <v>6867</v>
      </c>
      <c r="M1129" s="3" t="str">
        <f>VLOOKUP(G1129,справочник!$B$1:$C$94,2,0)</f>
        <v>МСК</v>
      </c>
    </row>
    <row r="1130" spans="1:13" ht="42" thickBot="1" x14ac:dyDescent="0.35">
      <c r="A1130" s="1" t="s">
        <v>261</v>
      </c>
      <c r="B1130" s="1">
        <v>3610</v>
      </c>
      <c r="C1130" s="1" t="s">
        <v>6868</v>
      </c>
      <c r="D1130" s="2" t="s">
        <v>6869</v>
      </c>
      <c r="E1130" s="1" t="s">
        <v>20</v>
      </c>
      <c r="F1130" s="1" t="s">
        <v>222</v>
      </c>
      <c r="G1130" s="1" t="s">
        <v>223</v>
      </c>
      <c r="H1130" s="1" t="s">
        <v>224</v>
      </c>
      <c r="I1130" s="1" t="s">
        <v>6871</v>
      </c>
      <c r="J1130" s="2" t="s">
        <v>6872</v>
      </c>
      <c r="K1130" s="2" t="s">
        <v>6873</v>
      </c>
      <c r="L1130" s="2" t="s">
        <v>6870</v>
      </c>
      <c r="M1130" s="3" t="str">
        <f>VLOOKUP(G1130,справочник!$B$1:$C$94,2,0)</f>
        <v>МСК</v>
      </c>
    </row>
    <row r="1131" spans="1:13" ht="42" thickBot="1" x14ac:dyDescent="0.35">
      <c r="A1131" s="1" t="s">
        <v>146</v>
      </c>
      <c r="B1131" s="1">
        <v>2137</v>
      </c>
      <c r="C1131" s="1" t="s">
        <v>6874</v>
      </c>
      <c r="D1131" s="2" t="s">
        <v>6875</v>
      </c>
      <c r="E1131" s="1" t="s">
        <v>20</v>
      </c>
      <c r="F1131" s="1" t="s">
        <v>30</v>
      </c>
      <c r="G1131" s="1" t="s">
        <v>31</v>
      </c>
      <c r="H1131" s="1" t="s">
        <v>32</v>
      </c>
      <c r="I1131" s="1" t="s">
        <v>6876</v>
      </c>
      <c r="J1131" s="2" t="s">
        <v>107</v>
      </c>
      <c r="K1131" s="2" t="s">
        <v>6877</v>
      </c>
      <c r="L1131" s="2" t="s">
        <v>6878</v>
      </c>
      <c r="M1131" s="3" t="str">
        <f>VLOOKUP(G1131,справочник!$B$1:$C$94,2,0)</f>
        <v>МСК</v>
      </c>
    </row>
    <row r="1132" spans="1:13" ht="42" thickBot="1" x14ac:dyDescent="0.35">
      <c r="A1132" s="1" t="s">
        <v>146</v>
      </c>
      <c r="B1132" s="1">
        <v>2857</v>
      </c>
      <c r="C1132" s="1" t="s">
        <v>6879</v>
      </c>
      <c r="D1132" s="2" t="s">
        <v>6880</v>
      </c>
      <c r="E1132" s="1" t="s">
        <v>20</v>
      </c>
      <c r="F1132" s="1" t="s">
        <v>14</v>
      </c>
      <c r="G1132" s="1" t="s">
        <v>15</v>
      </c>
      <c r="H1132" s="1" t="s">
        <v>16</v>
      </c>
      <c r="I1132" s="1" t="s">
        <v>6882</v>
      </c>
      <c r="J1132" s="2" t="s">
        <v>441</v>
      </c>
      <c r="K1132" s="2" t="s">
        <v>6883</v>
      </c>
      <c r="L1132" s="2" t="s">
        <v>6881</v>
      </c>
      <c r="M1132" s="3" t="str">
        <f>VLOOKUP(G1132,справочник!$B$1:$C$94,2,0)</f>
        <v>МСК</v>
      </c>
    </row>
    <row r="1133" spans="1:13" ht="28.2" thickBot="1" x14ac:dyDescent="0.35">
      <c r="A1133" s="1" t="s">
        <v>83</v>
      </c>
      <c r="B1133" s="1">
        <v>689</v>
      </c>
      <c r="C1133" s="1" t="s">
        <v>6884</v>
      </c>
      <c r="D1133" s="2" t="s">
        <v>6885</v>
      </c>
      <c r="E1133" s="1" t="s">
        <v>29</v>
      </c>
      <c r="F1133" s="1" t="s">
        <v>14</v>
      </c>
      <c r="G1133" s="1" t="s">
        <v>15</v>
      </c>
      <c r="H1133" s="1" t="s">
        <v>16</v>
      </c>
      <c r="I1133" s="1" t="s">
        <v>6886</v>
      </c>
      <c r="J1133" s="2" t="s">
        <v>6887</v>
      </c>
      <c r="K1133" s="2" t="s">
        <v>6888</v>
      </c>
      <c r="L1133" s="2" t="s">
        <v>6889</v>
      </c>
      <c r="M1133" s="3" t="str">
        <f>VLOOKUP(G1133,справочник!$B$1:$C$94,2,0)</f>
        <v>МСК</v>
      </c>
    </row>
    <row r="1134" spans="1:13" ht="28.2" thickBot="1" x14ac:dyDescent="0.35">
      <c r="A1134" s="1" t="s">
        <v>12</v>
      </c>
      <c r="B1134" s="1">
        <v>7813</v>
      </c>
      <c r="C1134" s="1" t="s">
        <v>6890</v>
      </c>
      <c r="D1134" s="2" t="s">
        <v>6891</v>
      </c>
      <c r="E1134" s="1" t="s">
        <v>29</v>
      </c>
      <c r="F1134" s="1" t="s">
        <v>114</v>
      </c>
      <c r="G1134" s="1" t="s">
        <v>322</v>
      </c>
      <c r="H1134" s="1" t="s">
        <v>1407</v>
      </c>
      <c r="I1134" s="1" t="s">
        <v>6892</v>
      </c>
      <c r="J1134" s="2" t="s">
        <v>6893</v>
      </c>
      <c r="K1134" s="2" t="s">
        <v>6894</v>
      </c>
      <c r="L1134" s="2" t="s">
        <v>6895</v>
      </c>
      <c r="M1134" s="3" t="str">
        <f>VLOOKUP(G1134,справочник!$B$1:$C$94,2,0)</f>
        <v>МСК+7</v>
      </c>
    </row>
    <row r="1135" spans="1:13" ht="42" thickBot="1" x14ac:dyDescent="0.35">
      <c r="A1135" s="1" t="s">
        <v>177</v>
      </c>
      <c r="B1135" s="1">
        <v>724</v>
      </c>
      <c r="C1135" s="1" t="s">
        <v>6896</v>
      </c>
      <c r="D1135" s="2" t="s">
        <v>6897</v>
      </c>
      <c r="E1135" s="1" t="s">
        <v>29</v>
      </c>
      <c r="F1135" s="1" t="s">
        <v>114</v>
      </c>
      <c r="G1135" s="1" t="s">
        <v>322</v>
      </c>
      <c r="H1135" s="1" t="s">
        <v>1407</v>
      </c>
      <c r="I1135" s="1" t="s">
        <v>6899</v>
      </c>
      <c r="J1135" s="2" t="s">
        <v>6900</v>
      </c>
      <c r="K1135" s="2" t="s">
        <v>6901</v>
      </c>
      <c r="L1135" s="2" t="s">
        <v>6898</v>
      </c>
      <c r="M1135" s="3" t="str">
        <f>VLOOKUP(G1135,справочник!$B$1:$C$94,2,0)</f>
        <v>МСК+7</v>
      </c>
    </row>
    <row r="1136" spans="1:13" ht="55.8" thickBot="1" x14ac:dyDescent="0.35">
      <c r="A1136" s="1" t="s">
        <v>146</v>
      </c>
      <c r="B1136" s="1">
        <v>2274</v>
      </c>
      <c r="C1136" s="1" t="s">
        <v>6902</v>
      </c>
      <c r="D1136" s="2" t="s">
        <v>6903</v>
      </c>
      <c r="E1136" s="1" t="s">
        <v>20</v>
      </c>
      <c r="F1136" s="1" t="s">
        <v>114</v>
      </c>
      <c r="G1136" s="1" t="s">
        <v>322</v>
      </c>
      <c r="H1136" s="1" t="s">
        <v>6904</v>
      </c>
      <c r="I1136" s="1" t="s">
        <v>6905</v>
      </c>
      <c r="J1136" s="2" t="s">
        <v>151</v>
      </c>
      <c r="K1136" s="2" t="s">
        <v>6906</v>
      </c>
      <c r="L1136" s="2" t="s">
        <v>6907</v>
      </c>
      <c r="M1136" s="3" t="str">
        <f>VLOOKUP(G1136,справочник!$B$1:$C$94,2,0)</f>
        <v>МСК+7</v>
      </c>
    </row>
    <row r="1137" spans="1:13" ht="42" thickBot="1" x14ac:dyDescent="0.35">
      <c r="A1137" s="1" t="s">
        <v>146</v>
      </c>
      <c r="B1137" s="1">
        <v>236</v>
      </c>
      <c r="C1137" s="1" t="s">
        <v>6908</v>
      </c>
      <c r="D1137" s="2" t="s">
        <v>6909</v>
      </c>
      <c r="E1137" s="1" t="s">
        <v>29</v>
      </c>
      <c r="F1137" s="1" t="s">
        <v>36</v>
      </c>
      <c r="G1137" s="1" t="s">
        <v>6910</v>
      </c>
      <c r="H1137" s="1" t="s">
        <v>6911</v>
      </c>
      <c r="I1137" s="1" t="s">
        <v>6912</v>
      </c>
      <c r="J1137" s="2" t="s">
        <v>6913</v>
      </c>
      <c r="K1137" s="2" t="s">
        <v>6914</v>
      </c>
      <c r="L1137" s="2" t="s">
        <v>6915</v>
      </c>
      <c r="M1137" s="3" t="str">
        <f>VLOOKUP(G1137,справочник!$B$1:$C$94,2,0)</f>
        <v>МСК+4</v>
      </c>
    </row>
    <row r="1138" spans="1:13" ht="42" thickBot="1" x14ac:dyDescent="0.35">
      <c r="A1138" s="1" t="s">
        <v>54</v>
      </c>
      <c r="B1138" s="1">
        <v>3183</v>
      </c>
      <c r="C1138" s="1" t="s">
        <v>6916</v>
      </c>
      <c r="D1138" s="2" t="s">
        <v>6917</v>
      </c>
      <c r="E1138" s="1" t="s">
        <v>29</v>
      </c>
      <c r="F1138" s="1" t="s">
        <v>47</v>
      </c>
      <c r="G1138" s="1" t="s">
        <v>7293</v>
      </c>
      <c r="H1138" s="1" t="s">
        <v>6918</v>
      </c>
      <c r="I1138" s="1" t="s">
        <v>6919</v>
      </c>
      <c r="J1138" s="2" t="s">
        <v>334</v>
      </c>
      <c r="K1138" s="2" t="s">
        <v>6920</v>
      </c>
      <c r="L1138" s="2" t="s">
        <v>6921</v>
      </c>
      <c r="M1138" s="3" t="str">
        <f>VLOOKUP(G1138,справочник!$B$1:$C$94,2,0)</f>
        <v>МСК+2</v>
      </c>
    </row>
    <row r="1139" spans="1:13" ht="28.2" thickBot="1" x14ac:dyDescent="0.35">
      <c r="A1139" s="1" t="s">
        <v>724</v>
      </c>
      <c r="B1139" s="1">
        <v>4066</v>
      </c>
      <c r="C1139" s="1" t="s">
        <v>6922</v>
      </c>
      <c r="D1139" s="2" t="s">
        <v>6923</v>
      </c>
      <c r="E1139" s="1" t="s">
        <v>29</v>
      </c>
      <c r="F1139" s="1" t="s">
        <v>21</v>
      </c>
      <c r="G1139" s="1" t="s">
        <v>6924</v>
      </c>
      <c r="H1139" s="1" t="s">
        <v>6926</v>
      </c>
      <c r="I1139" s="1" t="s">
        <v>6927</v>
      </c>
      <c r="J1139" s="2" t="s">
        <v>6928</v>
      </c>
      <c r="K1139" s="2" t="s">
        <v>6929</v>
      </c>
      <c r="L1139" s="2" t="s">
        <v>6925</v>
      </c>
      <c r="M1139" s="3" t="str">
        <f>VLOOKUP(G1139,справочник!$B$1:$C$94,2,0)</f>
        <v>МСК</v>
      </c>
    </row>
    <row r="1140" spans="1:13" ht="42" thickBot="1" x14ac:dyDescent="0.35">
      <c r="A1140" s="1" t="s">
        <v>261</v>
      </c>
      <c r="B1140" s="1">
        <v>4061</v>
      </c>
      <c r="C1140" s="1" t="s">
        <v>6930</v>
      </c>
      <c r="D1140" s="2" t="s">
        <v>6931</v>
      </c>
      <c r="E1140" s="1" t="s">
        <v>29</v>
      </c>
      <c r="F1140" s="1" t="s">
        <v>21</v>
      </c>
      <c r="G1140" s="1" t="s">
        <v>6924</v>
      </c>
      <c r="H1140" s="1" t="s">
        <v>6932</v>
      </c>
      <c r="I1140" s="1" t="s">
        <v>6933</v>
      </c>
      <c r="J1140" s="2" t="s">
        <v>6934</v>
      </c>
      <c r="K1140" s="2" t="s">
        <v>6935</v>
      </c>
      <c r="L1140" s="2" t="s">
        <v>6936</v>
      </c>
      <c r="M1140" s="3" t="str">
        <f>VLOOKUP(G1140,справочник!$B$1:$C$94,2,0)</f>
        <v>МСК</v>
      </c>
    </row>
    <row r="1141" spans="1:13" ht="28.2" thickBot="1" x14ac:dyDescent="0.35">
      <c r="A1141" s="1" t="s">
        <v>168</v>
      </c>
      <c r="B1141" s="1">
        <v>4069</v>
      </c>
      <c r="C1141" s="1" t="s">
        <v>6937</v>
      </c>
      <c r="D1141" s="2" t="s">
        <v>6938</v>
      </c>
      <c r="E1141" s="1" t="s">
        <v>29</v>
      </c>
      <c r="F1141" s="1" t="s">
        <v>21</v>
      </c>
      <c r="G1141" s="1" t="s">
        <v>6924</v>
      </c>
      <c r="H1141" s="1" t="s">
        <v>6932</v>
      </c>
      <c r="I1141" s="1" t="s">
        <v>6939</v>
      </c>
      <c r="J1141" s="2" t="s">
        <v>6940</v>
      </c>
      <c r="K1141" s="2" t="s">
        <v>6941</v>
      </c>
      <c r="L1141" s="2" t="s">
        <v>6942</v>
      </c>
      <c r="M1141" s="3" t="str">
        <f>VLOOKUP(G1141,справочник!$B$1:$C$94,2,0)</f>
        <v>МСК</v>
      </c>
    </row>
    <row r="1142" spans="1:13" ht="42" thickBot="1" x14ac:dyDescent="0.35">
      <c r="A1142" s="1" t="s">
        <v>146</v>
      </c>
      <c r="B1142" s="1">
        <v>4067</v>
      </c>
      <c r="C1142" s="1" t="s">
        <v>6943</v>
      </c>
      <c r="D1142" s="2" t="s">
        <v>6944</v>
      </c>
      <c r="E1142" s="1" t="s">
        <v>29</v>
      </c>
      <c r="F1142" s="1" t="s">
        <v>21</v>
      </c>
      <c r="G1142" s="1" t="s">
        <v>6924</v>
      </c>
      <c r="H1142" s="1" t="s">
        <v>6932</v>
      </c>
      <c r="I1142" s="1" t="s">
        <v>6945</v>
      </c>
      <c r="J1142" s="2" t="s">
        <v>6946</v>
      </c>
      <c r="K1142" s="2" t="s">
        <v>6947</v>
      </c>
      <c r="L1142" s="2" t="s">
        <v>6948</v>
      </c>
      <c r="M1142" s="3" t="str">
        <f>VLOOKUP(G1142,справочник!$B$1:$C$94,2,0)</f>
        <v>МСК</v>
      </c>
    </row>
    <row r="1143" spans="1:13" ht="42" thickBot="1" x14ac:dyDescent="0.35">
      <c r="A1143" s="1" t="s">
        <v>6949</v>
      </c>
      <c r="B1143" s="1">
        <v>319</v>
      </c>
      <c r="C1143" s="1" t="s">
        <v>6950</v>
      </c>
      <c r="D1143" s="2" t="s">
        <v>6951</v>
      </c>
      <c r="E1143" s="1" t="s">
        <v>20</v>
      </c>
      <c r="F1143" s="1" t="s">
        <v>14</v>
      </c>
      <c r="G1143" s="1" t="s">
        <v>15</v>
      </c>
      <c r="H1143" s="1" t="s">
        <v>16</v>
      </c>
      <c r="I1143" s="1" t="s">
        <v>6952</v>
      </c>
      <c r="J1143" s="2" t="s">
        <v>381</v>
      </c>
      <c r="K1143" s="2" t="s">
        <v>6953</v>
      </c>
      <c r="L1143" s="2" t="s">
        <v>6954</v>
      </c>
      <c r="M1143" s="3" t="str">
        <f>VLOOKUP(G1143,справочник!$B$1:$C$94,2,0)</f>
        <v>МСК</v>
      </c>
    </row>
    <row r="1144" spans="1:13" ht="42" thickBot="1" x14ac:dyDescent="0.35">
      <c r="A1144" s="1" t="s">
        <v>146</v>
      </c>
      <c r="B1144" s="1">
        <v>2700</v>
      </c>
      <c r="C1144" s="1" t="s">
        <v>6955</v>
      </c>
      <c r="D1144" s="2" t="s">
        <v>6956</v>
      </c>
      <c r="E1144" s="1" t="s">
        <v>20</v>
      </c>
      <c r="F1144" s="1" t="s">
        <v>14</v>
      </c>
      <c r="G1144" s="1" t="s">
        <v>15</v>
      </c>
      <c r="H1144" s="1" t="s">
        <v>1764</v>
      </c>
      <c r="I1144" s="1" t="s">
        <v>6958</v>
      </c>
      <c r="J1144" s="2" t="s">
        <v>6959</v>
      </c>
      <c r="K1144" s="2" t="s">
        <v>6960</v>
      </c>
      <c r="L1144" s="2" t="s">
        <v>6957</v>
      </c>
      <c r="M1144" s="3" t="str">
        <f>VLOOKUP(G1144,справочник!$B$1:$C$94,2,0)</f>
        <v>МСК</v>
      </c>
    </row>
    <row r="1145" spans="1:13" ht="42" thickBot="1" x14ac:dyDescent="0.35">
      <c r="A1145" s="1" t="s">
        <v>146</v>
      </c>
      <c r="B1145" s="1">
        <v>2169</v>
      </c>
      <c r="C1145" s="1" t="s">
        <v>6961</v>
      </c>
      <c r="D1145" s="2" t="s">
        <v>6962</v>
      </c>
      <c r="E1145" s="1" t="s">
        <v>20</v>
      </c>
      <c r="F1145" s="1" t="s">
        <v>14</v>
      </c>
      <c r="G1145" s="1" t="s">
        <v>15</v>
      </c>
      <c r="H1145" s="1" t="s">
        <v>16</v>
      </c>
      <c r="I1145" s="1" t="s">
        <v>2040</v>
      </c>
      <c r="J1145" s="2" t="s">
        <v>6963</v>
      </c>
      <c r="K1145" s="2" t="s">
        <v>6964</v>
      </c>
      <c r="L1145" s="2" t="s">
        <v>6965</v>
      </c>
      <c r="M1145" s="3" t="str">
        <f>VLOOKUP(G1145,справочник!$B$1:$C$94,2,0)</f>
        <v>МСК</v>
      </c>
    </row>
    <row r="1146" spans="1:13" ht="42" thickBot="1" x14ac:dyDescent="0.35">
      <c r="A1146" s="1" t="s">
        <v>146</v>
      </c>
      <c r="B1146" s="1">
        <v>289</v>
      </c>
      <c r="C1146" s="1" t="s">
        <v>6966</v>
      </c>
      <c r="D1146" s="2" t="s">
        <v>6967</v>
      </c>
      <c r="E1146" s="1" t="s">
        <v>20</v>
      </c>
      <c r="F1146" s="1" t="s">
        <v>14</v>
      </c>
      <c r="G1146" s="1" t="s">
        <v>15</v>
      </c>
      <c r="H1146" s="1" t="s">
        <v>16</v>
      </c>
      <c r="I1146" s="1" t="s">
        <v>6968</v>
      </c>
      <c r="J1146" s="2" t="s">
        <v>92</v>
      </c>
      <c r="K1146" s="2" t="s">
        <v>92</v>
      </c>
      <c r="L1146" s="2" t="s">
        <v>92</v>
      </c>
      <c r="M1146" s="3" t="str">
        <f>VLOOKUP(G1146,справочник!$B$1:$C$94,2,0)</f>
        <v>МСК</v>
      </c>
    </row>
    <row r="1147" spans="1:13" ht="42" thickBot="1" x14ac:dyDescent="0.35">
      <c r="A1147" s="1" t="s">
        <v>146</v>
      </c>
      <c r="B1147" s="1">
        <v>2957</v>
      </c>
      <c r="C1147" s="1" t="s">
        <v>6969</v>
      </c>
      <c r="D1147" s="2" t="s">
        <v>6970</v>
      </c>
      <c r="E1147" s="1" t="s">
        <v>20</v>
      </c>
      <c r="F1147" s="1" t="s">
        <v>14</v>
      </c>
      <c r="G1147" s="1" t="s">
        <v>15</v>
      </c>
      <c r="H1147" s="1" t="s">
        <v>16</v>
      </c>
      <c r="I1147" s="1" t="s">
        <v>6971</v>
      </c>
      <c r="J1147" s="2" t="s">
        <v>381</v>
      </c>
      <c r="K1147" s="2" t="s">
        <v>6972</v>
      </c>
      <c r="L1147" s="2" t="s">
        <v>6973</v>
      </c>
      <c r="M1147" s="3" t="str">
        <f>VLOOKUP(G1147,справочник!$B$1:$C$94,2,0)</f>
        <v>МСК</v>
      </c>
    </row>
    <row r="1148" spans="1:13" ht="42" thickBot="1" x14ac:dyDescent="0.35">
      <c r="A1148" s="1" t="s">
        <v>177</v>
      </c>
      <c r="B1148" s="1">
        <v>1776</v>
      </c>
      <c r="C1148" s="1" t="s">
        <v>6974</v>
      </c>
      <c r="D1148" s="2" t="s">
        <v>6975</v>
      </c>
      <c r="E1148" s="1" t="s">
        <v>29</v>
      </c>
      <c r="F1148" s="1" t="s">
        <v>14</v>
      </c>
      <c r="G1148" s="1" t="s">
        <v>15</v>
      </c>
      <c r="H1148" s="1" t="s">
        <v>16</v>
      </c>
      <c r="I1148" s="1" t="s">
        <v>6976</v>
      </c>
      <c r="J1148" s="2" t="s">
        <v>6977</v>
      </c>
      <c r="K1148" s="2" t="s">
        <v>6978</v>
      </c>
      <c r="L1148" s="2" t="s">
        <v>6979</v>
      </c>
      <c r="M1148" s="3" t="str">
        <f>VLOOKUP(G1148,справочник!$B$1:$C$94,2,0)</f>
        <v>МСК</v>
      </c>
    </row>
    <row r="1149" spans="1:13" ht="42" thickBot="1" x14ac:dyDescent="0.35">
      <c r="A1149" s="1" t="s">
        <v>138</v>
      </c>
      <c r="B1149" s="1">
        <v>7624</v>
      </c>
      <c r="C1149" s="1" t="s">
        <v>6980</v>
      </c>
      <c r="D1149" s="2" t="s">
        <v>6981</v>
      </c>
      <c r="E1149" s="1" t="s">
        <v>773</v>
      </c>
      <c r="F1149" s="1" t="s">
        <v>14</v>
      </c>
      <c r="G1149" s="1" t="s">
        <v>43</v>
      </c>
      <c r="H1149" s="1" t="s">
        <v>6982</v>
      </c>
      <c r="I1149" s="1" t="s">
        <v>6983</v>
      </c>
      <c r="J1149" s="2" t="s">
        <v>2644</v>
      </c>
      <c r="K1149" s="2" t="s">
        <v>6984</v>
      </c>
      <c r="L1149" s="2" t="s">
        <v>6985</v>
      </c>
      <c r="M1149" s="3" t="str">
        <f>VLOOKUP(G1149,справочник!$B$1:$C$94,2,0)</f>
        <v>МСК</v>
      </c>
    </row>
    <row r="1150" spans="1:13" ht="42" thickBot="1" x14ac:dyDescent="0.35">
      <c r="A1150" s="1" t="s">
        <v>138</v>
      </c>
      <c r="B1150" s="1">
        <v>7577</v>
      </c>
      <c r="C1150" s="1" t="s">
        <v>6986</v>
      </c>
      <c r="D1150" s="2" t="s">
        <v>6987</v>
      </c>
      <c r="E1150" s="1" t="s">
        <v>20</v>
      </c>
      <c r="F1150" s="1" t="s">
        <v>14</v>
      </c>
      <c r="G1150" s="1" t="s">
        <v>15</v>
      </c>
      <c r="H1150" s="1" t="s">
        <v>16</v>
      </c>
      <c r="I1150" s="1" t="s">
        <v>6988</v>
      </c>
      <c r="J1150" s="2" t="s">
        <v>6989</v>
      </c>
      <c r="K1150" s="2" t="s">
        <v>6990</v>
      </c>
      <c r="L1150" s="2" t="s">
        <v>6991</v>
      </c>
      <c r="M1150" s="3" t="str">
        <f>VLOOKUP(G1150,справочник!$B$1:$C$94,2,0)</f>
        <v>МСК</v>
      </c>
    </row>
    <row r="1151" spans="1:13" ht="42" thickBot="1" x14ac:dyDescent="0.35">
      <c r="A1151" s="1" t="s">
        <v>146</v>
      </c>
      <c r="B1151" s="1">
        <v>308</v>
      </c>
      <c r="C1151" s="1" t="s">
        <v>6992</v>
      </c>
      <c r="D1151" s="2" t="s">
        <v>6993</v>
      </c>
      <c r="E1151" s="1" t="s">
        <v>20</v>
      </c>
      <c r="F1151" s="1" t="s">
        <v>30</v>
      </c>
      <c r="G1151" s="1" t="s">
        <v>31</v>
      </c>
      <c r="H1151" s="1" t="s">
        <v>32</v>
      </c>
      <c r="I1151" s="1" t="s">
        <v>6994</v>
      </c>
      <c r="J1151" s="2" t="s">
        <v>6995</v>
      </c>
      <c r="K1151" s="2" t="s">
        <v>6996</v>
      </c>
      <c r="L1151" s="2" t="s">
        <v>6997</v>
      </c>
      <c r="M1151" s="3" t="str">
        <f>VLOOKUP(G1151,справочник!$B$1:$C$94,2,0)</f>
        <v>МСК</v>
      </c>
    </row>
    <row r="1152" spans="1:13" ht="55.8" thickBot="1" x14ac:dyDescent="0.35">
      <c r="A1152" s="1" t="s">
        <v>12</v>
      </c>
      <c r="B1152" s="1">
        <v>7612</v>
      </c>
      <c r="C1152" s="1" t="s">
        <v>6998</v>
      </c>
      <c r="D1152" s="2" t="s">
        <v>6999</v>
      </c>
      <c r="E1152" s="1" t="s">
        <v>86</v>
      </c>
      <c r="F1152" s="1" t="s">
        <v>14</v>
      </c>
      <c r="G1152" s="1" t="s">
        <v>15</v>
      </c>
      <c r="H1152" s="1" t="s">
        <v>16</v>
      </c>
      <c r="I1152" s="1" t="s">
        <v>7001</v>
      </c>
      <c r="J1152" s="2" t="s">
        <v>7002</v>
      </c>
      <c r="K1152" s="2" t="s">
        <v>7003</v>
      </c>
      <c r="L1152" s="2" t="s">
        <v>7000</v>
      </c>
      <c r="M1152" s="3" t="str">
        <f>VLOOKUP(G1152,справочник!$B$1:$C$94,2,0)</f>
        <v>МСК</v>
      </c>
    </row>
    <row r="1153" spans="1:13" ht="69.599999999999994" thickBot="1" x14ac:dyDescent="0.35">
      <c r="A1153" s="1" t="s">
        <v>4002</v>
      </c>
      <c r="B1153" s="1">
        <v>3646</v>
      </c>
      <c r="C1153" s="1" t="s">
        <v>7004</v>
      </c>
      <c r="D1153" s="2" t="s">
        <v>7005</v>
      </c>
      <c r="E1153" s="1" t="s">
        <v>20</v>
      </c>
      <c r="F1153" s="1" t="s">
        <v>14</v>
      </c>
      <c r="G1153" s="1" t="s">
        <v>15</v>
      </c>
      <c r="H1153" s="1" t="s">
        <v>92</v>
      </c>
      <c r="I1153" s="1" t="s">
        <v>7007</v>
      </c>
      <c r="J1153" s="2" t="s">
        <v>7008</v>
      </c>
      <c r="K1153" s="2" t="s">
        <v>7009</v>
      </c>
      <c r="L1153" s="2" t="s">
        <v>7006</v>
      </c>
      <c r="M1153" s="3" t="str">
        <f>VLOOKUP(G1153,справочник!$B$1:$C$94,2,0)</f>
        <v>МСК</v>
      </c>
    </row>
    <row r="1154" spans="1:13" ht="69.599999999999994" thickBot="1" x14ac:dyDescent="0.35">
      <c r="A1154" s="1" t="s">
        <v>62</v>
      </c>
      <c r="B1154" s="1">
        <v>377</v>
      </c>
      <c r="C1154" s="1" t="s">
        <v>7010</v>
      </c>
      <c r="D1154" s="2" t="s">
        <v>7011</v>
      </c>
      <c r="E1154" s="1" t="s">
        <v>141</v>
      </c>
      <c r="F1154" s="1" t="s">
        <v>30</v>
      </c>
      <c r="G1154" s="1" t="s">
        <v>31</v>
      </c>
      <c r="H1154" s="1" t="s">
        <v>32</v>
      </c>
      <c r="I1154" s="1" t="s">
        <v>7014</v>
      </c>
      <c r="J1154" s="2" t="s">
        <v>7015</v>
      </c>
      <c r="K1154" s="2" t="s">
        <v>7012</v>
      </c>
      <c r="L1154" s="2" t="s">
        <v>7013</v>
      </c>
      <c r="M1154" s="3" t="str">
        <f>VLOOKUP(G1154,справочник!$B$1:$C$94,2,0)</f>
        <v>МСК</v>
      </c>
    </row>
    <row r="1155" spans="1:13" ht="42" thickBot="1" x14ac:dyDescent="0.35">
      <c r="A1155" s="1" t="s">
        <v>146</v>
      </c>
      <c r="B1155" s="1">
        <v>1866</v>
      </c>
      <c r="C1155" s="1" t="s">
        <v>7016</v>
      </c>
      <c r="D1155" s="2" t="s">
        <v>7017</v>
      </c>
      <c r="E1155" s="1" t="s">
        <v>20</v>
      </c>
      <c r="F1155" s="1" t="s">
        <v>14</v>
      </c>
      <c r="G1155" s="1" t="s">
        <v>15</v>
      </c>
      <c r="H1155" s="1" t="s">
        <v>16</v>
      </c>
      <c r="I1155" s="1" t="s">
        <v>7018</v>
      </c>
      <c r="J1155" s="2" t="s">
        <v>7019</v>
      </c>
      <c r="K1155" s="2" t="s">
        <v>7020</v>
      </c>
      <c r="L1155" s="2" t="s">
        <v>7021</v>
      </c>
      <c r="M1155" s="3" t="str">
        <f>VLOOKUP(G1155,справочник!$B$1:$C$94,2,0)</f>
        <v>МСК</v>
      </c>
    </row>
    <row r="1156" spans="1:13" ht="42" thickBot="1" x14ac:dyDescent="0.35">
      <c r="A1156" s="1" t="s">
        <v>17</v>
      </c>
      <c r="B1156" s="1">
        <v>3472</v>
      </c>
      <c r="C1156" s="1" t="s">
        <v>7022</v>
      </c>
      <c r="D1156" s="2" t="s">
        <v>7023</v>
      </c>
      <c r="E1156" s="1" t="s">
        <v>20</v>
      </c>
      <c r="F1156" s="1" t="s">
        <v>14</v>
      </c>
      <c r="G1156" s="1" t="s">
        <v>43</v>
      </c>
      <c r="H1156" s="1" t="s">
        <v>16</v>
      </c>
      <c r="I1156" s="1" t="s">
        <v>7024</v>
      </c>
      <c r="J1156" s="2" t="s">
        <v>7025</v>
      </c>
      <c r="K1156" s="2" t="s">
        <v>7026</v>
      </c>
      <c r="L1156" s="2" t="s">
        <v>7027</v>
      </c>
      <c r="M1156" s="3" t="str">
        <f>VLOOKUP(G1156,справочник!$B$1:$C$94,2,0)</f>
        <v>МСК</v>
      </c>
    </row>
    <row r="1157" spans="1:13" ht="55.8" thickBot="1" x14ac:dyDescent="0.35">
      <c r="A1157" s="1" t="s">
        <v>138</v>
      </c>
      <c r="B1157" s="1">
        <v>3410</v>
      </c>
      <c r="C1157" s="1" t="s">
        <v>7028</v>
      </c>
      <c r="D1157" s="2" t="s">
        <v>7029</v>
      </c>
      <c r="E1157" s="1" t="s">
        <v>20</v>
      </c>
      <c r="F1157" s="1" t="s">
        <v>14</v>
      </c>
      <c r="G1157" s="1" t="s">
        <v>15</v>
      </c>
      <c r="H1157" s="1" t="s">
        <v>16</v>
      </c>
      <c r="I1157" s="1" t="s">
        <v>7031</v>
      </c>
      <c r="J1157" s="2" t="s">
        <v>7032</v>
      </c>
      <c r="K1157" s="2" t="s">
        <v>7033</v>
      </c>
      <c r="L1157" s="2" t="s">
        <v>7030</v>
      </c>
      <c r="M1157" s="3" t="str">
        <f>VLOOKUP(G1157,справочник!$B$1:$C$94,2,0)</f>
        <v>МСК</v>
      </c>
    </row>
    <row r="1158" spans="1:13" ht="42" thickBot="1" x14ac:dyDescent="0.35">
      <c r="A1158" s="1" t="s">
        <v>146</v>
      </c>
      <c r="B1158" s="1">
        <v>1980</v>
      </c>
      <c r="C1158" s="1" t="s">
        <v>7034</v>
      </c>
      <c r="D1158" s="2" t="s">
        <v>7035</v>
      </c>
      <c r="E1158" s="1" t="s">
        <v>20</v>
      </c>
      <c r="F1158" s="1" t="s">
        <v>36</v>
      </c>
      <c r="G1158" s="1" t="s">
        <v>1181</v>
      </c>
      <c r="H1158" s="1" t="s">
        <v>1710</v>
      </c>
      <c r="I1158" s="1" t="s">
        <v>7036</v>
      </c>
      <c r="J1158" s="2" t="s">
        <v>7037</v>
      </c>
      <c r="K1158" s="2" t="s">
        <v>7038</v>
      </c>
      <c r="L1158" s="2" t="s">
        <v>7039</v>
      </c>
      <c r="M1158" s="3" t="str">
        <f>VLOOKUP(G1158,справочник!$B$1:$C$94,2,0)</f>
        <v>МСК+4</v>
      </c>
    </row>
    <row r="1159" spans="1:13" ht="42" thickBot="1" x14ac:dyDescent="0.35">
      <c r="A1159" s="1" t="s">
        <v>12</v>
      </c>
      <c r="B1159" s="1">
        <v>7421</v>
      </c>
      <c r="C1159" s="1" t="s">
        <v>7040</v>
      </c>
      <c r="D1159" s="2" t="s">
        <v>7041</v>
      </c>
      <c r="E1159" s="1" t="s">
        <v>29</v>
      </c>
      <c r="F1159" s="1" t="s">
        <v>14</v>
      </c>
      <c r="G1159" s="1" t="s">
        <v>15</v>
      </c>
      <c r="H1159" s="1" t="s">
        <v>16</v>
      </c>
      <c r="I1159" s="1" t="s">
        <v>7042</v>
      </c>
      <c r="J1159" s="2" t="s">
        <v>7043</v>
      </c>
      <c r="K1159" s="2" t="s">
        <v>7044</v>
      </c>
      <c r="L1159" s="2" t="s">
        <v>7045</v>
      </c>
      <c r="M1159" s="3" t="str">
        <f>VLOOKUP(G1159,справочник!$B$1:$C$94,2,0)</f>
        <v>МСК</v>
      </c>
    </row>
    <row r="1160" spans="1:13" ht="42" thickBot="1" x14ac:dyDescent="0.35">
      <c r="A1160" s="1" t="s">
        <v>146</v>
      </c>
      <c r="B1160" s="1">
        <v>2095</v>
      </c>
      <c r="C1160" s="1" t="s">
        <v>7046</v>
      </c>
      <c r="D1160" s="2" t="s">
        <v>7047</v>
      </c>
      <c r="E1160" s="1" t="s">
        <v>20</v>
      </c>
      <c r="F1160" s="1" t="s">
        <v>14</v>
      </c>
      <c r="G1160" s="1" t="s">
        <v>15</v>
      </c>
      <c r="H1160" s="1" t="s">
        <v>16</v>
      </c>
      <c r="I1160" s="1" t="s">
        <v>2178</v>
      </c>
      <c r="J1160" s="2" t="s">
        <v>7049</v>
      </c>
      <c r="K1160" s="2" t="s">
        <v>7050</v>
      </c>
      <c r="L1160" s="2" t="s">
        <v>7048</v>
      </c>
      <c r="M1160" s="3" t="str">
        <f>VLOOKUP(G1160,справочник!$B$1:$C$94,2,0)</f>
        <v>МСК</v>
      </c>
    </row>
    <row r="1161" spans="1:13" ht="28.2" thickBot="1" x14ac:dyDescent="0.35">
      <c r="A1161" s="1" t="s">
        <v>621</v>
      </c>
      <c r="B1161" s="1">
        <v>541</v>
      </c>
      <c r="C1161" s="1" t="s">
        <v>7051</v>
      </c>
      <c r="D1161" s="2" t="s">
        <v>7052</v>
      </c>
      <c r="E1161" s="1" t="s">
        <v>29</v>
      </c>
      <c r="F1161" s="1" t="s">
        <v>222</v>
      </c>
      <c r="G1161" s="1" t="s">
        <v>1637</v>
      </c>
      <c r="H1161" s="1" t="s">
        <v>7054</v>
      </c>
      <c r="I1161" s="1" t="s">
        <v>7055</v>
      </c>
      <c r="J1161" s="2" t="s">
        <v>7056</v>
      </c>
      <c r="K1161" s="2" t="s">
        <v>7056</v>
      </c>
      <c r="L1161" s="2" t="s">
        <v>7053</v>
      </c>
      <c r="M1161" s="3" t="str">
        <f>VLOOKUP(G1161,справочник!$B$1:$C$94,2,0)</f>
        <v>МСК+2</v>
      </c>
    </row>
    <row r="1162" spans="1:13" ht="42" thickBot="1" x14ac:dyDescent="0.35">
      <c r="A1162" s="1" t="s">
        <v>12</v>
      </c>
      <c r="B1162" s="1">
        <v>7464</v>
      </c>
      <c r="C1162" s="1" t="s">
        <v>7057</v>
      </c>
      <c r="D1162" s="2" t="s">
        <v>7058</v>
      </c>
      <c r="E1162" s="1" t="s">
        <v>29</v>
      </c>
      <c r="F1162" s="1" t="s">
        <v>109</v>
      </c>
      <c r="G1162" s="1" t="s">
        <v>1697</v>
      </c>
      <c r="H1162" s="1"/>
      <c r="I1162" s="1"/>
      <c r="J1162" s="2" t="s">
        <v>7059</v>
      </c>
      <c r="K1162" s="2" t="s">
        <v>7060</v>
      </c>
      <c r="L1162" s="2" t="s">
        <v>7061</v>
      </c>
      <c r="M1162" s="3" t="str">
        <f>VLOOKUP(G1162,справочник!$B$1:$C$94,2,0)</f>
        <v>МСК</v>
      </c>
    </row>
    <row r="1163" spans="1:13" ht="42" thickBot="1" x14ac:dyDescent="0.35">
      <c r="A1163" s="1" t="s">
        <v>177</v>
      </c>
      <c r="B1163" s="1">
        <v>756</v>
      </c>
      <c r="C1163" s="1" t="s">
        <v>7062</v>
      </c>
      <c r="D1163" s="2" t="s">
        <v>7063</v>
      </c>
      <c r="E1163" s="1" t="s">
        <v>29</v>
      </c>
      <c r="F1163" s="1" t="s">
        <v>47</v>
      </c>
      <c r="G1163" s="1" t="s">
        <v>125</v>
      </c>
      <c r="H1163" s="1" t="s">
        <v>126</v>
      </c>
      <c r="I1163" s="1" t="s">
        <v>7064</v>
      </c>
      <c r="J1163" s="2" t="s">
        <v>7065</v>
      </c>
      <c r="K1163" s="2" t="s">
        <v>7066</v>
      </c>
      <c r="L1163" s="2" t="s">
        <v>7067</v>
      </c>
      <c r="M1163" s="3" t="str">
        <f>VLOOKUP(G1163,справочник!$B$1:$C$94,2,0)</f>
        <v>МСК+2</v>
      </c>
    </row>
    <row r="1164" spans="1:13" ht="97.2" thickBot="1" x14ac:dyDescent="0.35">
      <c r="A1164" s="1" t="s">
        <v>146</v>
      </c>
      <c r="B1164" s="1">
        <v>238</v>
      </c>
      <c r="C1164" s="1" t="s">
        <v>7068</v>
      </c>
      <c r="D1164" s="2" t="s">
        <v>7069</v>
      </c>
      <c r="E1164" s="1" t="s">
        <v>29</v>
      </c>
      <c r="F1164" s="1" t="s">
        <v>47</v>
      </c>
      <c r="G1164" s="1" t="s">
        <v>125</v>
      </c>
      <c r="H1164" s="1" t="s">
        <v>126</v>
      </c>
      <c r="I1164" s="1" t="s">
        <v>7071</v>
      </c>
      <c r="J1164" s="2" t="s">
        <v>7072</v>
      </c>
      <c r="K1164" s="2" t="s">
        <v>7073</v>
      </c>
      <c r="L1164" s="2" t="s">
        <v>7070</v>
      </c>
      <c r="M1164" s="3" t="str">
        <f>VLOOKUP(G1164,справочник!$B$1:$C$94,2,0)</f>
        <v>МСК+2</v>
      </c>
    </row>
    <row r="1165" spans="1:13" ht="42" thickBot="1" x14ac:dyDescent="0.35">
      <c r="A1165" s="1" t="s">
        <v>146</v>
      </c>
      <c r="B1165" s="1">
        <v>239</v>
      </c>
      <c r="C1165" s="1" t="s">
        <v>7074</v>
      </c>
      <c r="D1165" s="2" t="s">
        <v>7075</v>
      </c>
      <c r="E1165" s="1" t="s">
        <v>29</v>
      </c>
      <c r="F1165" s="1" t="s">
        <v>30</v>
      </c>
      <c r="G1165" s="1" t="s">
        <v>744</v>
      </c>
      <c r="H1165" s="1" t="s">
        <v>7076</v>
      </c>
      <c r="I1165" s="1" t="s">
        <v>7077</v>
      </c>
      <c r="J1165" s="2" t="s">
        <v>7078</v>
      </c>
      <c r="K1165" s="2" t="s">
        <v>7079</v>
      </c>
      <c r="L1165" s="2" t="s">
        <v>7080</v>
      </c>
      <c r="M1165" s="3" t="str">
        <f>VLOOKUP(G1165,справочник!$B$1:$C$94,2,0)</f>
        <v>МСК</v>
      </c>
    </row>
    <row r="1166" spans="1:13" ht="28.2" thickBot="1" x14ac:dyDescent="0.35">
      <c r="A1166" s="1" t="s">
        <v>28</v>
      </c>
      <c r="B1166" s="1">
        <v>3775</v>
      </c>
      <c r="C1166" s="1" t="s">
        <v>7081</v>
      </c>
      <c r="D1166" s="2" t="s">
        <v>7082</v>
      </c>
      <c r="E1166" s="1" t="s">
        <v>29</v>
      </c>
      <c r="F1166" s="1" t="s">
        <v>21</v>
      </c>
      <c r="G1166" s="1" t="s">
        <v>253</v>
      </c>
      <c r="H1166" s="1" t="s">
        <v>254</v>
      </c>
      <c r="I1166" s="1" t="s">
        <v>7083</v>
      </c>
      <c r="J1166" s="2" t="s">
        <v>922</v>
      </c>
      <c r="K1166" s="2" t="s">
        <v>7084</v>
      </c>
      <c r="L1166" s="2" t="s">
        <v>7085</v>
      </c>
      <c r="M1166" s="3" t="str">
        <f>VLOOKUP(G1166,справочник!$B$1:$C$94,2,0)</f>
        <v>МСК</v>
      </c>
    </row>
    <row r="1167" spans="1:13" ht="28.2" thickBot="1" x14ac:dyDescent="0.35">
      <c r="A1167" s="1" t="s">
        <v>168</v>
      </c>
      <c r="B1167" s="1">
        <v>240</v>
      </c>
      <c r="C1167" s="1" t="s">
        <v>7086</v>
      </c>
      <c r="D1167" s="2" t="s">
        <v>7087</v>
      </c>
      <c r="E1167" s="1" t="s">
        <v>29</v>
      </c>
      <c r="F1167" s="1" t="s">
        <v>109</v>
      </c>
      <c r="G1167" s="1" t="s">
        <v>1325</v>
      </c>
      <c r="H1167" s="1" t="s">
        <v>1326</v>
      </c>
      <c r="I1167" s="1" t="s">
        <v>7088</v>
      </c>
      <c r="J1167" s="2" t="s">
        <v>7089</v>
      </c>
      <c r="K1167" s="2" t="s">
        <v>7090</v>
      </c>
      <c r="L1167" s="2" t="s">
        <v>7091</v>
      </c>
      <c r="M1167" s="3" t="str">
        <f>VLOOKUP(G1167,справочник!$B$1:$C$94,2,0)</f>
        <v>МСК</v>
      </c>
    </row>
    <row r="1168" spans="1:13" ht="42" thickBot="1" x14ac:dyDescent="0.35">
      <c r="A1168" s="1" t="s">
        <v>146</v>
      </c>
      <c r="B1168" s="1">
        <v>241</v>
      </c>
      <c r="C1168" s="1" t="s">
        <v>7092</v>
      </c>
      <c r="D1168" s="2" t="s">
        <v>7093</v>
      </c>
      <c r="E1168" s="1" t="s">
        <v>29</v>
      </c>
      <c r="F1168" s="1" t="s">
        <v>109</v>
      </c>
      <c r="G1168" s="1" t="s">
        <v>1325</v>
      </c>
      <c r="H1168" s="1" t="s">
        <v>1326</v>
      </c>
      <c r="I1168" s="1" t="s">
        <v>7094</v>
      </c>
      <c r="J1168" s="2" t="s">
        <v>7095</v>
      </c>
      <c r="K1168" s="2" t="s">
        <v>7096</v>
      </c>
      <c r="L1168" s="2" t="s">
        <v>7097</v>
      </c>
      <c r="M1168" s="3" t="str">
        <f>VLOOKUP(G1168,справочник!$B$1:$C$94,2,0)</f>
        <v>МСК</v>
      </c>
    </row>
    <row r="1169" spans="1:13" ht="42" thickBot="1" x14ac:dyDescent="0.35">
      <c r="A1169" s="1" t="s">
        <v>131</v>
      </c>
      <c r="B1169" s="1">
        <v>554</v>
      </c>
      <c r="C1169" s="1" t="s">
        <v>7098</v>
      </c>
      <c r="D1169" s="2" t="s">
        <v>7099</v>
      </c>
      <c r="E1169" s="1" t="s">
        <v>29</v>
      </c>
      <c r="F1169" s="1" t="s">
        <v>114</v>
      </c>
      <c r="G1169" s="1" t="s">
        <v>1623</v>
      </c>
      <c r="H1169" s="1" t="s">
        <v>1624</v>
      </c>
      <c r="I1169" s="1" t="s">
        <v>7100</v>
      </c>
      <c r="J1169" s="2" t="s">
        <v>1096</v>
      </c>
      <c r="K1169" s="2" t="s">
        <v>7101</v>
      </c>
      <c r="L1169" s="2" t="s">
        <v>7102</v>
      </c>
      <c r="M1169" s="3" t="str">
        <f>VLOOKUP(G1169,справочник!$B$1:$C$94,2,0)</f>
        <v>МСК+6</v>
      </c>
    </row>
    <row r="1170" spans="1:13" ht="42" thickBot="1" x14ac:dyDescent="0.35">
      <c r="A1170" s="1" t="s">
        <v>261</v>
      </c>
      <c r="B1170" s="1">
        <v>1499</v>
      </c>
      <c r="C1170" s="1" t="s">
        <v>7103</v>
      </c>
      <c r="D1170" s="2" t="s">
        <v>7104</v>
      </c>
      <c r="E1170" s="1" t="s">
        <v>29</v>
      </c>
      <c r="F1170" s="1" t="s">
        <v>222</v>
      </c>
      <c r="G1170" s="1" t="s">
        <v>2535</v>
      </c>
      <c r="H1170" s="1" t="s">
        <v>2536</v>
      </c>
      <c r="I1170" s="1" t="s">
        <v>7105</v>
      </c>
      <c r="J1170" s="2" t="s">
        <v>7106</v>
      </c>
      <c r="K1170" s="2" t="s">
        <v>7107</v>
      </c>
      <c r="L1170" s="2" t="s">
        <v>7108</v>
      </c>
      <c r="M1170" s="3" t="str">
        <f>VLOOKUP(G1170,справочник!$B$1:$C$94,2,0)</f>
        <v>МСК</v>
      </c>
    </row>
    <row r="1171" spans="1:13" ht="55.8" thickBot="1" x14ac:dyDescent="0.35">
      <c r="A1171" s="1" t="s">
        <v>54</v>
      </c>
      <c r="B1171" s="1">
        <v>3167</v>
      </c>
      <c r="C1171" s="1" t="s">
        <v>7109</v>
      </c>
      <c r="D1171" s="2" t="s">
        <v>7110</v>
      </c>
      <c r="E1171" s="1" t="s">
        <v>29</v>
      </c>
      <c r="F1171" s="1" t="s">
        <v>222</v>
      </c>
      <c r="G1171" s="1" t="s">
        <v>2535</v>
      </c>
      <c r="H1171" s="1" t="s">
        <v>2536</v>
      </c>
      <c r="I1171" s="1" t="s">
        <v>7111</v>
      </c>
      <c r="J1171" s="2" t="s">
        <v>7112</v>
      </c>
      <c r="K1171" s="2" t="s">
        <v>7113</v>
      </c>
      <c r="L1171" s="2" t="s">
        <v>7114</v>
      </c>
      <c r="M1171" s="3" t="str">
        <f>VLOOKUP(G1171,справочник!$B$1:$C$94,2,0)</f>
        <v>МСК</v>
      </c>
    </row>
    <row r="1172" spans="1:13" ht="42" thickBot="1" x14ac:dyDescent="0.35">
      <c r="A1172" s="1" t="s">
        <v>168</v>
      </c>
      <c r="B1172" s="1">
        <v>243</v>
      </c>
      <c r="C1172" s="1" t="s">
        <v>7115</v>
      </c>
      <c r="D1172" s="2" t="s">
        <v>7116</v>
      </c>
      <c r="E1172" s="1" t="s">
        <v>29</v>
      </c>
      <c r="F1172" s="1" t="s">
        <v>222</v>
      </c>
      <c r="G1172" s="1" t="s">
        <v>2535</v>
      </c>
      <c r="H1172" s="1" t="s">
        <v>2536</v>
      </c>
      <c r="I1172" s="1" t="s">
        <v>7118</v>
      </c>
      <c r="J1172" s="2" t="s">
        <v>3010</v>
      </c>
      <c r="K1172" s="2" t="s">
        <v>7119</v>
      </c>
      <c r="L1172" s="2" t="s">
        <v>7117</v>
      </c>
      <c r="M1172" s="3" t="str">
        <f>VLOOKUP(G1172,справочник!$B$1:$C$94,2,0)</f>
        <v>МСК</v>
      </c>
    </row>
    <row r="1173" spans="1:13" ht="42" thickBot="1" x14ac:dyDescent="0.35">
      <c r="A1173" s="1" t="s">
        <v>146</v>
      </c>
      <c r="B1173" s="1">
        <v>244</v>
      </c>
      <c r="C1173" s="1" t="s">
        <v>7120</v>
      </c>
      <c r="D1173" s="2" t="s">
        <v>7121</v>
      </c>
      <c r="E1173" s="1" t="s">
        <v>29</v>
      </c>
      <c r="F1173" s="1" t="s">
        <v>222</v>
      </c>
      <c r="G1173" s="1" t="s">
        <v>2535</v>
      </c>
      <c r="H1173" s="1" t="s">
        <v>2536</v>
      </c>
      <c r="I1173" s="1" t="s">
        <v>7122</v>
      </c>
      <c r="J1173" s="2" t="s">
        <v>3010</v>
      </c>
      <c r="K1173" s="2" t="s">
        <v>7123</v>
      </c>
      <c r="L1173" s="2" t="s">
        <v>7124</v>
      </c>
      <c r="M1173" s="3" t="str">
        <f>VLOOKUP(G1173,справочник!$B$1:$C$94,2,0)</f>
        <v>МСК</v>
      </c>
    </row>
    <row r="1174" spans="1:13" ht="42" thickBot="1" x14ac:dyDescent="0.35">
      <c r="A1174" s="1" t="s">
        <v>621</v>
      </c>
      <c r="B1174" s="1">
        <v>552</v>
      </c>
      <c r="C1174" s="1" t="s">
        <v>7125</v>
      </c>
      <c r="D1174" s="2" t="s">
        <v>7126</v>
      </c>
      <c r="E1174" s="1" t="s">
        <v>29</v>
      </c>
      <c r="F1174" s="1" t="s">
        <v>114</v>
      </c>
      <c r="G1174" s="1" t="s">
        <v>338</v>
      </c>
      <c r="H1174" s="1" t="s">
        <v>7127</v>
      </c>
      <c r="I1174" s="1" t="s">
        <v>7128</v>
      </c>
      <c r="J1174" s="2" t="s">
        <v>7129</v>
      </c>
      <c r="K1174" s="2" t="s">
        <v>7130</v>
      </c>
      <c r="L1174" s="2" t="s">
        <v>7131</v>
      </c>
      <c r="M1174" s="3" t="str">
        <f>VLOOKUP(G1174,справочник!$B$1:$C$94,2,0)</f>
        <v>МСК+6</v>
      </c>
    </row>
    <row r="1175" spans="1:13" ht="28.2" thickBot="1" x14ac:dyDescent="0.35">
      <c r="A1175" s="1" t="s">
        <v>168</v>
      </c>
      <c r="B1175" s="1">
        <v>245</v>
      </c>
      <c r="C1175" s="1" t="s">
        <v>7132</v>
      </c>
      <c r="D1175" s="2" t="s">
        <v>7133</v>
      </c>
      <c r="E1175" s="1" t="s">
        <v>29</v>
      </c>
      <c r="F1175" s="1" t="s">
        <v>47</v>
      </c>
      <c r="G1175" s="1" t="s">
        <v>3183</v>
      </c>
      <c r="H1175" s="1" t="s">
        <v>7134</v>
      </c>
      <c r="I1175" s="1" t="s">
        <v>7135</v>
      </c>
      <c r="J1175" s="2" t="s">
        <v>7136</v>
      </c>
      <c r="K1175" s="2" t="s">
        <v>7137</v>
      </c>
      <c r="L1175" s="2" t="s">
        <v>7138</v>
      </c>
      <c r="M1175" s="3" t="str">
        <f>VLOOKUP(G1175,справочник!$B$1:$C$94,2,0)</f>
        <v>МСК+2</v>
      </c>
    </row>
    <row r="1176" spans="1:13" ht="28.2" thickBot="1" x14ac:dyDescent="0.35">
      <c r="A1176" s="1" t="s">
        <v>12</v>
      </c>
      <c r="B1176" s="1">
        <v>7428</v>
      </c>
      <c r="C1176" s="1" t="s">
        <v>7139</v>
      </c>
      <c r="D1176" s="2" t="s">
        <v>7140</v>
      </c>
      <c r="E1176" s="1" t="s">
        <v>29</v>
      </c>
      <c r="F1176" s="1" t="s">
        <v>14</v>
      </c>
      <c r="G1176" s="1" t="s">
        <v>15</v>
      </c>
      <c r="H1176" s="1" t="s">
        <v>1764</v>
      </c>
      <c r="I1176" s="1" t="s">
        <v>7141</v>
      </c>
      <c r="J1176" s="2" t="s">
        <v>7142</v>
      </c>
      <c r="K1176" s="2" t="s">
        <v>7143</v>
      </c>
      <c r="L1176" s="2" t="s">
        <v>7144</v>
      </c>
      <c r="M1176" s="3" t="str">
        <f>VLOOKUP(G1176,справочник!$B$1:$C$94,2,0)</f>
        <v>МСК</v>
      </c>
    </row>
    <row r="1177" spans="1:13" ht="55.8" thickBot="1" x14ac:dyDescent="0.35">
      <c r="A1177" s="1" t="s">
        <v>177</v>
      </c>
      <c r="B1177" s="1">
        <v>775</v>
      </c>
      <c r="C1177" s="1" t="s">
        <v>7145</v>
      </c>
      <c r="D1177" s="2" t="s">
        <v>7146</v>
      </c>
      <c r="E1177" s="1" t="s">
        <v>29</v>
      </c>
      <c r="F1177" s="1" t="s">
        <v>14</v>
      </c>
      <c r="G1177" s="1" t="s">
        <v>15</v>
      </c>
      <c r="H1177" s="1" t="s">
        <v>3780</v>
      </c>
      <c r="I1177" s="1" t="s">
        <v>7148</v>
      </c>
      <c r="J1177" s="2" t="s">
        <v>7149</v>
      </c>
      <c r="K1177" s="2" t="s">
        <v>7150</v>
      </c>
      <c r="L1177" s="2" t="s">
        <v>7147</v>
      </c>
      <c r="M1177" s="3" t="str">
        <f>VLOOKUP(G1177,справочник!$B$1:$C$94,2,0)</f>
        <v>МСК</v>
      </c>
    </row>
    <row r="1178" spans="1:13" ht="42" thickBot="1" x14ac:dyDescent="0.35">
      <c r="A1178" s="1" t="s">
        <v>146</v>
      </c>
      <c r="B1178" s="1">
        <v>307</v>
      </c>
      <c r="C1178" s="1" t="s">
        <v>7151</v>
      </c>
      <c r="D1178" s="2" t="s">
        <v>7152</v>
      </c>
      <c r="E1178" s="1" t="s">
        <v>20</v>
      </c>
      <c r="F1178" s="1" t="s">
        <v>14</v>
      </c>
      <c r="G1178" s="1" t="s">
        <v>15</v>
      </c>
      <c r="H1178" s="1" t="s">
        <v>16</v>
      </c>
      <c r="I1178" s="1" t="s">
        <v>7153</v>
      </c>
      <c r="J1178" s="2" t="s">
        <v>3255</v>
      </c>
      <c r="K1178" s="2" t="s">
        <v>7154</v>
      </c>
      <c r="L1178" s="2" t="s">
        <v>7155</v>
      </c>
      <c r="M1178" s="3" t="str">
        <f>VLOOKUP(G1178,справочник!$B$1:$C$94,2,0)</f>
        <v>МСК</v>
      </c>
    </row>
    <row r="1179" spans="1:13" ht="42" thickBot="1" x14ac:dyDescent="0.35">
      <c r="A1179" s="1" t="s">
        <v>146</v>
      </c>
      <c r="B1179" s="1">
        <v>85</v>
      </c>
      <c r="C1179" s="1" t="s">
        <v>7156</v>
      </c>
      <c r="D1179" s="2" t="s">
        <v>7157</v>
      </c>
      <c r="E1179" s="1" t="s">
        <v>29</v>
      </c>
      <c r="F1179" s="1" t="s">
        <v>14</v>
      </c>
      <c r="G1179" s="1" t="s">
        <v>3191</v>
      </c>
      <c r="H1179" s="1" t="s">
        <v>3192</v>
      </c>
      <c r="I1179" s="1" t="s">
        <v>7158</v>
      </c>
      <c r="J1179" s="2" t="s">
        <v>7159</v>
      </c>
      <c r="K1179" s="2" t="s">
        <v>7160</v>
      </c>
      <c r="L1179" s="2" t="s">
        <v>7161</v>
      </c>
      <c r="M1179" s="3" t="str">
        <f>VLOOKUP(G1179,справочник!$B$1:$C$94,2,0)</f>
        <v>МСК</v>
      </c>
    </row>
    <row r="1180" spans="1:13" ht="42" thickBot="1" x14ac:dyDescent="0.35">
      <c r="A1180" s="1" t="s">
        <v>146</v>
      </c>
      <c r="B1180" s="1">
        <v>357</v>
      </c>
      <c r="C1180" s="1" t="s">
        <v>7162</v>
      </c>
      <c r="D1180" s="2" t="s">
        <v>7163</v>
      </c>
      <c r="E1180" s="1" t="s">
        <v>29</v>
      </c>
      <c r="F1180" s="1" t="s">
        <v>47</v>
      </c>
      <c r="G1180" s="1" t="s">
        <v>7293</v>
      </c>
      <c r="H1180" s="1" t="s">
        <v>6918</v>
      </c>
      <c r="I1180" s="1" t="s">
        <v>7164</v>
      </c>
      <c r="J1180" s="2" t="s">
        <v>334</v>
      </c>
      <c r="K1180" s="2" t="s">
        <v>7165</v>
      </c>
      <c r="L1180" s="2" t="s">
        <v>7166</v>
      </c>
      <c r="M1180" s="3" t="str">
        <f>VLOOKUP(G1180,справочник!$B$1:$C$94,2,0)</f>
        <v>МСК+2</v>
      </c>
    </row>
    <row r="1181" spans="1:13" ht="42" thickBot="1" x14ac:dyDescent="0.35">
      <c r="A1181" s="1" t="s">
        <v>146</v>
      </c>
      <c r="B1181" s="1">
        <v>246</v>
      </c>
      <c r="C1181" s="1" t="s">
        <v>7167</v>
      </c>
      <c r="D1181" s="2" t="s">
        <v>7168</v>
      </c>
      <c r="E1181" s="1" t="s">
        <v>29</v>
      </c>
      <c r="F1181" s="1" t="s">
        <v>21</v>
      </c>
      <c r="G1181" s="1" t="s">
        <v>22</v>
      </c>
      <c r="H1181" s="1" t="s">
        <v>6463</v>
      </c>
      <c r="I1181" s="1" t="s">
        <v>7170</v>
      </c>
      <c r="J1181" s="2" t="s">
        <v>7171</v>
      </c>
      <c r="K1181" s="2" t="s">
        <v>7172</v>
      </c>
      <c r="L1181" s="2" t="s">
        <v>7169</v>
      </c>
      <c r="M1181" s="3" t="str">
        <f>VLOOKUP(G1181,справочник!$B$1:$C$94,2,0)</f>
        <v>МСК</v>
      </c>
    </row>
    <row r="1182" spans="1:13" ht="28.2" thickBot="1" x14ac:dyDescent="0.35">
      <c r="A1182" s="1" t="s">
        <v>12</v>
      </c>
      <c r="B1182" s="1">
        <v>910</v>
      </c>
      <c r="C1182" s="1" t="s">
        <v>7173</v>
      </c>
      <c r="D1182" s="2" t="s">
        <v>7174</v>
      </c>
      <c r="E1182" s="1" t="s">
        <v>29</v>
      </c>
      <c r="F1182" s="1" t="s">
        <v>21</v>
      </c>
      <c r="G1182" s="1" t="s">
        <v>22</v>
      </c>
      <c r="H1182" s="1" t="s">
        <v>23</v>
      </c>
      <c r="I1182" s="1" t="s">
        <v>7177</v>
      </c>
      <c r="J1182" s="2" t="s">
        <v>107</v>
      </c>
      <c r="K1182" s="2" t="s">
        <v>7175</v>
      </c>
      <c r="L1182" s="2" t="s">
        <v>7176</v>
      </c>
      <c r="M1182" s="3" t="str">
        <f>VLOOKUP(G1182,справочник!$B$1:$C$94,2,0)</f>
        <v>МСК</v>
      </c>
    </row>
    <row r="1183" spans="1:13" ht="42" thickBot="1" x14ac:dyDescent="0.35">
      <c r="A1183" s="1" t="s">
        <v>261</v>
      </c>
      <c r="B1183" s="1">
        <v>1232</v>
      </c>
      <c r="C1183" s="1" t="s">
        <v>7178</v>
      </c>
      <c r="D1183" s="2" t="s">
        <v>7179</v>
      </c>
      <c r="E1183" s="1" t="s">
        <v>29</v>
      </c>
      <c r="F1183" s="1" t="s">
        <v>47</v>
      </c>
      <c r="G1183" s="1" t="s">
        <v>125</v>
      </c>
      <c r="H1183" s="1" t="s">
        <v>7180</v>
      </c>
      <c r="I1183" s="1" t="s">
        <v>7181</v>
      </c>
      <c r="J1183" s="2" t="s">
        <v>7182</v>
      </c>
      <c r="K1183" s="2" t="s">
        <v>7183</v>
      </c>
      <c r="L1183" s="2" t="s">
        <v>7184</v>
      </c>
      <c r="M1183" s="3" t="str">
        <f>VLOOKUP(G1183,справочник!$B$1:$C$94,2,0)</f>
        <v>МСК+2</v>
      </c>
    </row>
    <row r="1184" spans="1:13" ht="42" thickBot="1" x14ac:dyDescent="0.35">
      <c r="A1184" s="1" t="s">
        <v>168</v>
      </c>
      <c r="B1184" s="1">
        <v>237</v>
      </c>
      <c r="C1184" s="1" t="s">
        <v>7185</v>
      </c>
      <c r="D1184" s="2" t="s">
        <v>7186</v>
      </c>
      <c r="E1184" s="1" t="s">
        <v>29</v>
      </c>
      <c r="F1184" s="1" t="s">
        <v>47</v>
      </c>
      <c r="G1184" s="1" t="s">
        <v>125</v>
      </c>
      <c r="H1184" s="1" t="s">
        <v>126</v>
      </c>
      <c r="I1184" s="1" t="s">
        <v>7188</v>
      </c>
      <c r="J1184" s="2" t="s">
        <v>232</v>
      </c>
      <c r="K1184" s="2" t="s">
        <v>7189</v>
      </c>
      <c r="L1184" s="2" t="s">
        <v>7187</v>
      </c>
      <c r="M1184" s="3" t="str">
        <f>VLOOKUP(G1184,справочник!$B$1:$C$94,2,0)</f>
        <v>МСК+2</v>
      </c>
    </row>
    <row r="1185" spans="1:13" ht="42" thickBot="1" x14ac:dyDescent="0.35">
      <c r="A1185" s="1" t="s">
        <v>54</v>
      </c>
      <c r="B1185" s="1">
        <v>3330</v>
      </c>
      <c r="C1185" s="1" t="s">
        <v>7190</v>
      </c>
      <c r="D1185" s="2" t="s">
        <v>7191</v>
      </c>
      <c r="E1185" s="1" t="s">
        <v>29</v>
      </c>
      <c r="F1185" s="1" t="s">
        <v>47</v>
      </c>
      <c r="G1185" s="1" t="s">
        <v>125</v>
      </c>
      <c r="H1185" s="1" t="s">
        <v>126</v>
      </c>
      <c r="I1185" s="1" t="s">
        <v>7192</v>
      </c>
      <c r="J1185" s="2" t="s">
        <v>7193</v>
      </c>
      <c r="K1185" s="2" t="s">
        <v>7194</v>
      </c>
      <c r="L1185" s="2" t="s">
        <v>7195</v>
      </c>
      <c r="M1185" s="3" t="str">
        <f>VLOOKUP(G1185,справочник!$B$1:$C$94,2,0)</f>
        <v>МСК+2</v>
      </c>
    </row>
    <row r="1186" spans="1:13" ht="42" thickBot="1" x14ac:dyDescent="0.35">
      <c r="A1186" s="1" t="s">
        <v>131</v>
      </c>
      <c r="B1186" s="1">
        <v>546</v>
      </c>
      <c r="C1186" s="1" t="s">
        <v>7196</v>
      </c>
      <c r="D1186" s="2" t="s">
        <v>7197</v>
      </c>
      <c r="E1186" s="1" t="s">
        <v>29</v>
      </c>
      <c r="F1186" s="1" t="s">
        <v>47</v>
      </c>
      <c r="G1186" s="1" t="s">
        <v>125</v>
      </c>
      <c r="H1186" s="1" t="s">
        <v>126</v>
      </c>
      <c r="I1186" s="1" t="s">
        <v>7198</v>
      </c>
      <c r="J1186" s="2" t="s">
        <v>3306</v>
      </c>
      <c r="K1186" s="2" t="s">
        <v>7199</v>
      </c>
      <c r="L1186" s="2" t="s">
        <v>7200</v>
      </c>
      <c r="M1186" s="3" t="str">
        <f>VLOOKUP(G1186,справочник!$B$1:$C$94,2,0)</f>
        <v>МСК+2</v>
      </c>
    </row>
    <row r="1187" spans="1:13" ht="42" thickBot="1" x14ac:dyDescent="0.35">
      <c r="A1187" s="1" t="s">
        <v>146</v>
      </c>
      <c r="B1187" s="1">
        <v>247</v>
      </c>
      <c r="C1187" s="1" t="s">
        <v>7201</v>
      </c>
      <c r="D1187" s="2" t="s">
        <v>7202</v>
      </c>
      <c r="E1187" s="1" t="s">
        <v>29</v>
      </c>
      <c r="F1187" s="1" t="s">
        <v>47</v>
      </c>
      <c r="G1187" s="1" t="s">
        <v>125</v>
      </c>
      <c r="H1187" s="1" t="s">
        <v>126</v>
      </c>
      <c r="I1187" s="1" t="s">
        <v>7203</v>
      </c>
      <c r="J1187" s="2" t="s">
        <v>7204</v>
      </c>
      <c r="K1187" s="2" t="s">
        <v>7205</v>
      </c>
      <c r="L1187" s="2" t="s">
        <v>7206</v>
      </c>
      <c r="M1187" s="3" t="str">
        <f>VLOOKUP(G1187,справочник!$B$1:$C$94,2,0)</f>
        <v>МСК+2</v>
      </c>
    </row>
    <row r="1188" spans="1:13" ht="42" thickBot="1" x14ac:dyDescent="0.35">
      <c r="A1188" s="1" t="s">
        <v>12</v>
      </c>
      <c r="B1188" s="1">
        <v>3225</v>
      </c>
      <c r="C1188" s="1" t="s">
        <v>7207</v>
      </c>
      <c r="D1188" s="2" t="s">
        <v>7208</v>
      </c>
      <c r="E1188" s="1" t="s">
        <v>29</v>
      </c>
      <c r="F1188" s="1" t="s">
        <v>47</v>
      </c>
      <c r="G1188" s="1" t="s">
        <v>125</v>
      </c>
      <c r="H1188" s="1" t="s">
        <v>126</v>
      </c>
      <c r="I1188" s="1" t="s">
        <v>7209</v>
      </c>
      <c r="J1188" s="2" t="s">
        <v>7210</v>
      </c>
      <c r="K1188" s="2" t="s">
        <v>7211</v>
      </c>
      <c r="L1188" s="2" t="s">
        <v>7212</v>
      </c>
      <c r="M1188" s="3" t="str">
        <f>VLOOKUP(G1188,справочник!$B$1:$C$94,2,0)</f>
        <v>МСК+2</v>
      </c>
    </row>
    <row r="1189" spans="1:13" ht="55.8" thickBot="1" x14ac:dyDescent="0.35">
      <c r="A1189" s="1" t="s">
        <v>146</v>
      </c>
      <c r="B1189" s="1">
        <v>2005</v>
      </c>
      <c r="C1189" s="1" t="s">
        <v>7213</v>
      </c>
      <c r="D1189" s="2" t="s">
        <v>7214</v>
      </c>
      <c r="E1189" s="1" t="s">
        <v>20</v>
      </c>
      <c r="F1189" s="1" t="s">
        <v>47</v>
      </c>
      <c r="G1189" s="1" t="s">
        <v>125</v>
      </c>
      <c r="H1189" s="1" t="s">
        <v>7217</v>
      </c>
      <c r="I1189" s="1" t="s">
        <v>7218</v>
      </c>
      <c r="J1189" s="2" t="s">
        <v>2108</v>
      </c>
      <c r="K1189" s="2" t="s">
        <v>7215</v>
      </c>
      <c r="L1189" s="2" t="s">
        <v>7216</v>
      </c>
      <c r="M1189" s="3" t="str">
        <f>VLOOKUP(G1189,справочник!$B$1:$C$94,2,0)</f>
        <v>МСК+2</v>
      </c>
    </row>
    <row r="1190" spans="1:13" ht="42" thickBot="1" x14ac:dyDescent="0.35">
      <c r="A1190" s="1" t="s">
        <v>12</v>
      </c>
      <c r="B1190" s="1">
        <v>3224</v>
      </c>
      <c r="C1190" s="1" t="s">
        <v>7219</v>
      </c>
      <c r="D1190" s="2" t="s">
        <v>7220</v>
      </c>
      <c r="E1190" s="1" t="s">
        <v>29</v>
      </c>
      <c r="F1190" s="1" t="s">
        <v>21</v>
      </c>
      <c r="G1190" s="1" t="s">
        <v>22</v>
      </c>
      <c r="H1190" s="1" t="s">
        <v>23</v>
      </c>
      <c r="I1190" s="1" t="s">
        <v>7222</v>
      </c>
      <c r="J1190" s="2" t="s">
        <v>7223</v>
      </c>
      <c r="K1190" s="2" t="s">
        <v>7224</v>
      </c>
      <c r="L1190" s="2" t="s">
        <v>7221</v>
      </c>
      <c r="M1190" s="3" t="str">
        <f>VLOOKUP(G1190,справочник!$B$1:$C$94,2,0)</f>
        <v>МСК</v>
      </c>
    </row>
    <row r="1191" spans="1:13" ht="69.599999999999994" thickBot="1" x14ac:dyDescent="0.35">
      <c r="A1191" s="1" t="s">
        <v>146</v>
      </c>
      <c r="B1191" s="1">
        <v>248</v>
      </c>
      <c r="C1191" s="1" t="s">
        <v>7225</v>
      </c>
      <c r="D1191" s="2" t="s">
        <v>7226</v>
      </c>
      <c r="E1191" s="1" t="s">
        <v>29</v>
      </c>
      <c r="F1191" s="1" t="s">
        <v>21</v>
      </c>
      <c r="G1191" s="1" t="s">
        <v>22</v>
      </c>
      <c r="H1191" s="1" t="s">
        <v>23</v>
      </c>
      <c r="I1191" s="1" t="s">
        <v>7227</v>
      </c>
      <c r="J1191" s="2" t="s">
        <v>7228</v>
      </c>
      <c r="K1191" s="2" t="s">
        <v>7229</v>
      </c>
      <c r="L1191" s="2" t="s">
        <v>7230</v>
      </c>
      <c r="M1191" s="3" t="str">
        <f>VLOOKUP(G1191,справочник!$B$1:$C$94,2,0)</f>
        <v>МСК</v>
      </c>
    </row>
    <row r="1192" spans="1:13" ht="42" thickBot="1" x14ac:dyDescent="0.35">
      <c r="A1192" s="1" t="s">
        <v>146</v>
      </c>
      <c r="B1192" s="1">
        <v>2279</v>
      </c>
      <c r="C1192" s="1" t="s">
        <v>7231</v>
      </c>
      <c r="D1192" s="2" t="s">
        <v>7232</v>
      </c>
      <c r="E1192" s="1" t="s">
        <v>20</v>
      </c>
      <c r="F1192" s="1" t="s">
        <v>114</v>
      </c>
      <c r="G1192" s="1" t="s">
        <v>338</v>
      </c>
      <c r="H1192" s="1" t="s">
        <v>339</v>
      </c>
      <c r="I1192" s="1" t="s">
        <v>7233</v>
      </c>
      <c r="J1192" s="2" t="s">
        <v>92</v>
      </c>
      <c r="K1192" s="2" t="s">
        <v>7234</v>
      </c>
      <c r="L1192" s="2" t="s">
        <v>92</v>
      </c>
      <c r="M1192" s="3" t="str">
        <f>VLOOKUP(G1192,справочник!$B$1:$C$94,2,0)</f>
        <v>МСК+6</v>
      </c>
    </row>
    <row r="1193" spans="1:13" ht="42" thickBot="1" x14ac:dyDescent="0.35">
      <c r="A1193" s="1" t="s">
        <v>12</v>
      </c>
      <c r="B1193" s="1">
        <v>7631</v>
      </c>
      <c r="C1193" s="1" t="s">
        <v>7235</v>
      </c>
      <c r="D1193" s="2" t="s">
        <v>7236</v>
      </c>
      <c r="E1193" s="1" t="s">
        <v>29</v>
      </c>
      <c r="F1193" s="1" t="s">
        <v>14</v>
      </c>
      <c r="G1193" s="1" t="s">
        <v>1761</v>
      </c>
      <c r="H1193" s="1" t="s">
        <v>3365</v>
      </c>
      <c r="I1193" s="1" t="s">
        <v>7237</v>
      </c>
      <c r="J1193" s="2" t="s">
        <v>7238</v>
      </c>
      <c r="K1193" s="2" t="s">
        <v>7239</v>
      </c>
      <c r="L1193" s="2" t="s">
        <v>7240</v>
      </c>
      <c r="M1193" s="3" t="str">
        <f>VLOOKUP(G1193,справочник!$B$1:$C$94,2,0)</f>
        <v>МСК</v>
      </c>
    </row>
    <row r="1194" spans="1:13" ht="69.599999999999994" thickBot="1" x14ac:dyDescent="0.35">
      <c r="A1194" s="1" t="s">
        <v>146</v>
      </c>
      <c r="B1194" s="1">
        <v>831</v>
      </c>
      <c r="C1194" s="1" t="s">
        <v>7241</v>
      </c>
      <c r="D1194" s="2" t="s">
        <v>7242</v>
      </c>
      <c r="E1194" s="1" t="s">
        <v>29</v>
      </c>
      <c r="F1194" s="1" t="s">
        <v>14</v>
      </c>
      <c r="G1194" s="1" t="s">
        <v>1761</v>
      </c>
      <c r="H1194" s="1" t="s">
        <v>3365</v>
      </c>
      <c r="I1194" s="1" t="s">
        <v>7243</v>
      </c>
      <c r="J1194" s="2" t="s">
        <v>7244</v>
      </c>
      <c r="K1194" s="2" t="s">
        <v>7245</v>
      </c>
      <c r="L1194" s="2" t="s">
        <v>7246</v>
      </c>
      <c r="M1194" s="3" t="str">
        <f>VLOOKUP(G1194,справочник!$B$1:$C$94,2,0)</f>
        <v>МСК</v>
      </c>
    </row>
    <row r="1195" spans="1:13" ht="42" thickBot="1" x14ac:dyDescent="0.35">
      <c r="A1195" s="1" t="s">
        <v>131</v>
      </c>
      <c r="B1195" s="1">
        <v>557</v>
      </c>
      <c r="C1195" s="1" t="s">
        <v>7247</v>
      </c>
      <c r="D1195" s="2" t="s">
        <v>7248</v>
      </c>
      <c r="E1195" s="1" t="s">
        <v>29</v>
      </c>
      <c r="F1195" s="1" t="s">
        <v>14</v>
      </c>
      <c r="G1195" s="1" t="s">
        <v>1761</v>
      </c>
      <c r="H1195" s="1" t="s">
        <v>3365</v>
      </c>
      <c r="I1195" s="1" t="s">
        <v>7249</v>
      </c>
      <c r="J1195" s="2" t="s">
        <v>7250</v>
      </c>
      <c r="K1195" s="2" t="s">
        <v>7251</v>
      </c>
      <c r="L1195" s="2" t="s">
        <v>7252</v>
      </c>
      <c r="M1195" s="3" t="str">
        <f>VLOOKUP(G1195,справочник!$B$1:$C$94,2,0)</f>
        <v>МСК</v>
      </c>
    </row>
    <row r="1196" spans="1:13" ht="42" thickBot="1" x14ac:dyDescent="0.35">
      <c r="A1196" s="1" t="s">
        <v>168</v>
      </c>
      <c r="B1196" s="1">
        <v>249</v>
      </c>
      <c r="C1196" s="1" t="s">
        <v>7253</v>
      </c>
      <c r="D1196" s="2" t="s">
        <v>7254</v>
      </c>
      <c r="E1196" s="1" t="s">
        <v>29</v>
      </c>
      <c r="F1196" s="1" t="s">
        <v>14</v>
      </c>
      <c r="G1196" s="1" t="s">
        <v>1761</v>
      </c>
      <c r="H1196" s="1" t="s">
        <v>3365</v>
      </c>
      <c r="I1196" s="1" t="s">
        <v>7255</v>
      </c>
      <c r="J1196" s="2" t="s">
        <v>7256</v>
      </c>
      <c r="K1196" s="2" t="s">
        <v>7257</v>
      </c>
      <c r="L1196" s="2" t="s">
        <v>7258</v>
      </c>
      <c r="M1196" s="3" t="str">
        <f>VLOOKUP(G1196,справочник!$B$1:$C$94,2,0)</f>
        <v>МСК</v>
      </c>
    </row>
    <row r="1197" spans="1:13" ht="42" thickBot="1" x14ac:dyDescent="0.35">
      <c r="A1197" s="1" t="s">
        <v>177</v>
      </c>
      <c r="B1197" s="1">
        <v>760</v>
      </c>
      <c r="C1197" s="1" t="s">
        <v>7259</v>
      </c>
      <c r="D1197" s="2" t="s">
        <v>7260</v>
      </c>
      <c r="E1197" s="1" t="s">
        <v>29</v>
      </c>
      <c r="F1197" s="1" t="s">
        <v>14</v>
      </c>
      <c r="G1197" s="1" t="s">
        <v>1761</v>
      </c>
      <c r="H1197" s="1" t="s">
        <v>3365</v>
      </c>
      <c r="I1197" s="1" t="s">
        <v>7261</v>
      </c>
      <c r="J1197" s="2" t="s">
        <v>3575</v>
      </c>
      <c r="K1197" s="2" t="s">
        <v>7262</v>
      </c>
      <c r="L1197" s="2" t="s">
        <v>7263</v>
      </c>
      <c r="M1197" s="3" t="str">
        <f>VLOOKUP(G1197,справочник!$B$1:$C$94,2,0)</f>
        <v>МСК</v>
      </c>
    </row>
    <row r="1198" spans="1:13" ht="42" thickBot="1" x14ac:dyDescent="0.35">
      <c r="A1198" s="1" t="s">
        <v>146</v>
      </c>
      <c r="B1198" s="1">
        <v>250</v>
      </c>
      <c r="C1198" s="1" t="s">
        <v>7264</v>
      </c>
      <c r="D1198" s="2" t="s">
        <v>7265</v>
      </c>
      <c r="E1198" s="1" t="s">
        <v>29</v>
      </c>
      <c r="F1198" s="1" t="s">
        <v>14</v>
      </c>
      <c r="G1198" s="1" t="s">
        <v>1761</v>
      </c>
      <c r="H1198" s="1" t="s">
        <v>3365</v>
      </c>
      <c r="I1198" s="1" t="s">
        <v>7266</v>
      </c>
      <c r="J1198" s="2" t="s">
        <v>467</v>
      </c>
      <c r="K1198" s="2" t="s">
        <v>7267</v>
      </c>
      <c r="L1198" s="2" t="s">
        <v>7268</v>
      </c>
      <c r="M1198" s="3" t="str">
        <f>VLOOKUP(G1198,справочник!$B$1:$C$94,2,0)</f>
        <v>МСК</v>
      </c>
    </row>
    <row r="1199" spans="1:13" ht="42" thickBot="1" x14ac:dyDescent="0.35">
      <c r="A1199" s="1" t="s">
        <v>146</v>
      </c>
      <c r="B1199" s="1">
        <v>251</v>
      </c>
      <c r="C1199" s="1" t="s">
        <v>7269</v>
      </c>
      <c r="D1199" s="2" t="s">
        <v>7270</v>
      </c>
      <c r="E1199" s="1" t="s">
        <v>29</v>
      </c>
      <c r="F1199" s="1" t="s">
        <v>14</v>
      </c>
      <c r="G1199" s="1" t="s">
        <v>1761</v>
      </c>
      <c r="H1199" s="1" t="s">
        <v>3365</v>
      </c>
      <c r="I1199" s="1" t="s">
        <v>7271</v>
      </c>
      <c r="J1199" s="2" t="s">
        <v>7272</v>
      </c>
      <c r="K1199" s="2" t="s">
        <v>7273</v>
      </c>
      <c r="L1199" s="2" t="s">
        <v>7274</v>
      </c>
      <c r="M1199" s="3" t="str">
        <f>VLOOKUP(G1199,справочник!$B$1:$C$94,2,0)</f>
        <v>МСК</v>
      </c>
    </row>
  </sheetData>
  <autoFilter ref="A1:O1199" xr:uid="{00000000-0001-0000-0000-000000000000}"/>
  <pageMargins left="0.25" right="0.25" top="0.75" bottom="0.75" header="0.3" footer="0.3"/>
  <pageSetup paperSize="9" scale="4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4"/>
  <sheetViews>
    <sheetView topLeftCell="A82" workbookViewId="0">
      <selection activeCell="D7" sqref="D7"/>
    </sheetView>
  </sheetViews>
  <sheetFormatPr defaultRowHeight="14.4" x14ac:dyDescent="0.3"/>
  <cols>
    <col min="1" max="1" width="21.5546875" customWidth="1"/>
    <col min="2" max="2" width="23.5546875" customWidth="1"/>
    <col min="3" max="3" width="21" style="13" customWidth="1"/>
    <col min="12" max="12" width="21" style="13" customWidth="1"/>
  </cols>
  <sheetData>
    <row r="1" spans="1:12" ht="15" thickBot="1" x14ac:dyDescent="0.35">
      <c r="A1" s="4" t="s">
        <v>6911</v>
      </c>
      <c r="B1" s="5" t="s">
        <v>6910</v>
      </c>
      <c r="C1" s="5" t="s">
        <v>7297</v>
      </c>
      <c r="L1"/>
    </row>
    <row r="2" spans="1:12" ht="28.2" thickBot="1" x14ac:dyDescent="0.35">
      <c r="A2" s="4" t="s">
        <v>7276</v>
      </c>
      <c r="B2" s="5" t="s">
        <v>7277</v>
      </c>
      <c r="C2" s="5" t="s">
        <v>7298</v>
      </c>
      <c r="L2"/>
    </row>
    <row r="3" spans="1:12" ht="15" thickBot="1" x14ac:dyDescent="0.35">
      <c r="A3" s="4" t="s">
        <v>2524</v>
      </c>
      <c r="B3" s="5" t="s">
        <v>2523</v>
      </c>
      <c r="C3" s="5" t="s">
        <v>7307</v>
      </c>
      <c r="L3"/>
    </row>
    <row r="4" spans="1:12" ht="15" thickBot="1" x14ac:dyDescent="0.35">
      <c r="A4" s="4" t="s">
        <v>379</v>
      </c>
      <c r="B4" s="5" t="s">
        <v>378</v>
      </c>
      <c r="C4" s="5" t="s">
        <v>7299</v>
      </c>
      <c r="L4"/>
    </row>
    <row r="5" spans="1:12" ht="15" thickBot="1" x14ac:dyDescent="0.35">
      <c r="A5" s="4" t="s">
        <v>266</v>
      </c>
      <c r="B5" s="5" t="s">
        <v>264</v>
      </c>
      <c r="C5" s="5" t="s">
        <v>7297</v>
      </c>
      <c r="L5"/>
    </row>
    <row r="6" spans="1:12" ht="15" thickBot="1" x14ac:dyDescent="0.35">
      <c r="A6" s="4" t="s">
        <v>506</v>
      </c>
      <c r="B6" s="5" t="s">
        <v>497</v>
      </c>
      <c r="C6" s="5" t="s">
        <v>7307</v>
      </c>
      <c r="L6"/>
    </row>
    <row r="7" spans="1:12" ht="28.2" thickBot="1" x14ac:dyDescent="0.35">
      <c r="A7" s="4" t="s">
        <v>2022</v>
      </c>
      <c r="B7" s="5" t="s">
        <v>2020</v>
      </c>
      <c r="C7" s="5" t="s">
        <v>7304</v>
      </c>
      <c r="L7"/>
    </row>
    <row r="8" spans="1:12" ht="15" thickBot="1" x14ac:dyDescent="0.35">
      <c r="A8" s="4" t="s">
        <v>309</v>
      </c>
      <c r="B8" s="5" t="s">
        <v>308</v>
      </c>
      <c r="C8" s="5" t="s">
        <v>7303</v>
      </c>
      <c r="L8"/>
    </row>
    <row r="9" spans="1:12" ht="15" thickBot="1" x14ac:dyDescent="0.35">
      <c r="A9" s="4" t="s">
        <v>587</v>
      </c>
      <c r="B9" s="5" t="s">
        <v>578</v>
      </c>
      <c r="C9" s="5" t="s">
        <v>7307</v>
      </c>
      <c r="L9"/>
    </row>
    <row r="10" spans="1:12" ht="15" thickBot="1" x14ac:dyDescent="0.35">
      <c r="A10" s="4" t="s">
        <v>4458</v>
      </c>
      <c r="B10" s="5" t="s">
        <v>4457</v>
      </c>
      <c r="C10" s="5" t="s">
        <v>7307</v>
      </c>
      <c r="L10"/>
    </row>
    <row r="11" spans="1:12" ht="15" thickBot="1" x14ac:dyDescent="0.35">
      <c r="A11" s="4" t="s">
        <v>122</v>
      </c>
      <c r="B11" s="5" t="s">
        <v>121</v>
      </c>
      <c r="C11" s="5" t="s">
        <v>7304</v>
      </c>
      <c r="L11"/>
    </row>
    <row r="12" spans="1:12" ht="28.2" thickBot="1" x14ac:dyDescent="0.35">
      <c r="A12" s="4" t="s">
        <v>647</v>
      </c>
      <c r="B12" s="5" t="s">
        <v>646</v>
      </c>
      <c r="C12" s="5" t="s">
        <v>7307</v>
      </c>
      <c r="L12"/>
    </row>
    <row r="13" spans="1:12" ht="15" thickBot="1" x14ac:dyDescent="0.35">
      <c r="A13" s="4" t="s">
        <v>660</v>
      </c>
      <c r="B13" s="5" t="s">
        <v>637</v>
      </c>
      <c r="C13" s="5" t="s">
        <v>7307</v>
      </c>
      <c r="L13"/>
    </row>
    <row r="14" spans="1:12" ht="15" thickBot="1" x14ac:dyDescent="0.35">
      <c r="A14" s="4" t="s">
        <v>674</v>
      </c>
      <c r="B14" s="5" t="s">
        <v>673</v>
      </c>
      <c r="C14" s="5" t="s">
        <v>7299</v>
      </c>
      <c r="L14"/>
    </row>
    <row r="15" spans="1:12" ht="15" thickBot="1" x14ac:dyDescent="0.35">
      <c r="A15" s="4" t="s">
        <v>750</v>
      </c>
      <c r="B15" s="5" t="s">
        <v>744</v>
      </c>
      <c r="C15" s="5" t="s">
        <v>7307</v>
      </c>
      <c r="L15"/>
    </row>
    <row r="16" spans="1:12" ht="15" thickBot="1" x14ac:dyDescent="0.35">
      <c r="A16" s="4" t="s">
        <v>766</v>
      </c>
      <c r="B16" s="5" t="s">
        <v>765</v>
      </c>
      <c r="C16" s="5" t="s">
        <v>7307</v>
      </c>
      <c r="L16"/>
    </row>
    <row r="17" spans="1:12" ht="15" thickBot="1" x14ac:dyDescent="0.35">
      <c r="A17" s="4" t="s">
        <v>1170</v>
      </c>
      <c r="B17" s="5" t="s">
        <v>1168</v>
      </c>
      <c r="C17" s="5" t="s">
        <v>7297</v>
      </c>
      <c r="L17"/>
    </row>
    <row r="18" spans="1:12" ht="15" thickBot="1" x14ac:dyDescent="0.35">
      <c r="A18" s="4" t="s">
        <v>1326</v>
      </c>
      <c r="B18" s="5" t="s">
        <v>1325</v>
      </c>
      <c r="C18" s="5" t="s">
        <v>7307</v>
      </c>
      <c r="L18"/>
    </row>
    <row r="19" spans="1:12" ht="15" thickBot="1" x14ac:dyDescent="0.35">
      <c r="A19" s="4" t="s">
        <v>49</v>
      </c>
      <c r="B19" s="5" t="s">
        <v>48</v>
      </c>
      <c r="C19" s="5" t="s">
        <v>7300</v>
      </c>
      <c r="L19"/>
    </row>
    <row r="20" spans="1:12" ht="15" thickBot="1" x14ac:dyDescent="0.35">
      <c r="A20" s="4" t="s">
        <v>634</v>
      </c>
      <c r="B20" s="5" t="s">
        <v>632</v>
      </c>
      <c r="C20" s="5" t="s">
        <v>7307</v>
      </c>
      <c r="L20"/>
    </row>
    <row r="21" spans="1:12" ht="28.2" thickBot="1" x14ac:dyDescent="0.35">
      <c r="A21" s="4" t="s">
        <v>1685</v>
      </c>
      <c r="B21" s="5" t="s">
        <v>1160</v>
      </c>
      <c r="C21" s="5" t="s">
        <v>7299</v>
      </c>
      <c r="L21"/>
    </row>
    <row r="22" spans="1:12" ht="15" thickBot="1" x14ac:dyDescent="0.35">
      <c r="A22" s="4" t="s">
        <v>3312</v>
      </c>
      <c r="B22" s="5" t="s">
        <v>3310</v>
      </c>
      <c r="C22" s="5" t="s">
        <v>7307</v>
      </c>
      <c r="L22"/>
    </row>
    <row r="23" spans="1:12" ht="15" thickBot="1" x14ac:dyDescent="0.35">
      <c r="A23" s="4" t="s">
        <v>411</v>
      </c>
      <c r="B23" s="5" t="s">
        <v>330</v>
      </c>
      <c r="C23" s="5" t="s">
        <v>7302</v>
      </c>
      <c r="L23"/>
    </row>
    <row r="24" spans="1:12" ht="15" thickBot="1" x14ac:dyDescent="0.35">
      <c r="A24" s="4" t="s">
        <v>224</v>
      </c>
      <c r="B24" s="5" t="s">
        <v>223</v>
      </c>
      <c r="C24" s="5" t="s">
        <v>7307</v>
      </c>
      <c r="L24"/>
    </row>
    <row r="25" spans="1:12" ht="28.2" thickBot="1" x14ac:dyDescent="0.35">
      <c r="A25" s="4" t="s">
        <v>459</v>
      </c>
      <c r="B25" s="5" t="s">
        <v>458</v>
      </c>
      <c r="C25" s="5" t="s">
        <v>7306</v>
      </c>
      <c r="L25"/>
    </row>
    <row r="26" spans="1:12" ht="15" thickBot="1" x14ac:dyDescent="0.35">
      <c r="A26" s="4" t="s">
        <v>2528</v>
      </c>
      <c r="B26" s="5" t="s">
        <v>2527</v>
      </c>
      <c r="C26" s="5" t="s">
        <v>7307</v>
      </c>
      <c r="L26"/>
    </row>
    <row r="27" spans="1:12" ht="15" thickBot="1" x14ac:dyDescent="0.35">
      <c r="A27" s="4" t="s">
        <v>2998</v>
      </c>
      <c r="B27" s="5" t="s">
        <v>2996</v>
      </c>
      <c r="C27" s="5" t="s">
        <v>7297</v>
      </c>
      <c r="L27"/>
    </row>
    <row r="28" spans="1:12" ht="15" thickBot="1" x14ac:dyDescent="0.35">
      <c r="A28" s="4" t="s">
        <v>1003</v>
      </c>
      <c r="B28" s="5" t="s">
        <v>1002</v>
      </c>
      <c r="C28" s="5" t="s">
        <v>7307</v>
      </c>
      <c r="L28"/>
    </row>
    <row r="29" spans="1:12" ht="15" thickBot="1" x14ac:dyDescent="0.35">
      <c r="A29" s="4" t="s">
        <v>670</v>
      </c>
      <c r="B29" s="5" t="s">
        <v>669</v>
      </c>
      <c r="C29" s="5" t="s">
        <v>7307</v>
      </c>
      <c r="L29"/>
    </row>
    <row r="30" spans="1:12" ht="15" thickBot="1" x14ac:dyDescent="0.35">
      <c r="A30" s="4" t="s">
        <v>200</v>
      </c>
      <c r="B30" s="5" t="s">
        <v>199</v>
      </c>
      <c r="C30" s="5" t="s">
        <v>7307</v>
      </c>
      <c r="L30"/>
    </row>
    <row r="31" spans="1:12" ht="15" thickBot="1" x14ac:dyDescent="0.35">
      <c r="A31" s="4" t="s">
        <v>3096</v>
      </c>
      <c r="B31" s="5" t="s">
        <v>37</v>
      </c>
      <c r="C31" s="5" t="s">
        <v>7297</v>
      </c>
      <c r="L31"/>
    </row>
    <row r="32" spans="1:12" ht="15" thickBot="1" x14ac:dyDescent="0.35">
      <c r="A32" s="4" t="s">
        <v>3184</v>
      </c>
      <c r="B32" s="5" t="s">
        <v>3183</v>
      </c>
      <c r="C32" s="5" t="s">
        <v>7300</v>
      </c>
      <c r="L32"/>
    </row>
    <row r="33" spans="1:12" ht="15" thickBot="1" x14ac:dyDescent="0.35">
      <c r="A33" s="4" t="s">
        <v>3192</v>
      </c>
      <c r="B33" s="5" t="s">
        <v>3191</v>
      </c>
      <c r="C33" s="5" t="s">
        <v>7307</v>
      </c>
      <c r="L33"/>
    </row>
    <row r="34" spans="1:12" ht="15" thickBot="1" x14ac:dyDescent="0.35">
      <c r="A34" s="4" t="s">
        <v>6143</v>
      </c>
      <c r="B34" s="5" t="s">
        <v>6142</v>
      </c>
      <c r="C34" s="5" t="s">
        <v>7297</v>
      </c>
      <c r="L34"/>
    </row>
    <row r="35" spans="1:12" ht="15" thickBot="1" x14ac:dyDescent="0.35">
      <c r="A35" s="4" t="s">
        <v>3241</v>
      </c>
      <c r="B35" s="5" t="s">
        <v>1609</v>
      </c>
      <c r="C35" s="5" t="s">
        <v>7307</v>
      </c>
      <c r="L35"/>
    </row>
    <row r="36" spans="1:12" ht="15" thickBot="1" x14ac:dyDescent="0.35">
      <c r="A36" s="4" t="s">
        <v>1780</v>
      </c>
      <c r="B36" s="5" t="s">
        <v>1778</v>
      </c>
      <c r="C36" s="5" t="s">
        <v>7305</v>
      </c>
      <c r="L36"/>
    </row>
    <row r="37" spans="1:12" ht="15" thickBot="1" x14ac:dyDescent="0.35">
      <c r="A37" s="4" t="s">
        <v>1698</v>
      </c>
      <c r="B37" s="5" t="s">
        <v>1697</v>
      </c>
      <c r="C37" s="5" t="s">
        <v>7307</v>
      </c>
      <c r="L37"/>
    </row>
    <row r="38" spans="1:12" ht="15" thickBot="1" x14ac:dyDescent="0.35">
      <c r="A38" s="4" t="s">
        <v>163</v>
      </c>
      <c r="B38" s="5" t="s">
        <v>162</v>
      </c>
      <c r="C38" s="5" t="s">
        <v>7307</v>
      </c>
      <c r="L38"/>
    </row>
    <row r="39" spans="1:12" ht="15" thickBot="1" x14ac:dyDescent="0.35">
      <c r="A39" s="4" t="s">
        <v>1360</v>
      </c>
      <c r="B39" s="5" t="s">
        <v>1352</v>
      </c>
      <c r="C39" s="5" t="s">
        <v>7307</v>
      </c>
      <c r="L39"/>
    </row>
    <row r="40" spans="1:12" ht="15" thickBot="1" x14ac:dyDescent="0.35">
      <c r="A40" s="4" t="s">
        <v>16</v>
      </c>
      <c r="B40" s="5" t="s">
        <v>43</v>
      </c>
      <c r="C40" s="5" t="s">
        <v>7307</v>
      </c>
      <c r="L40"/>
    </row>
    <row r="41" spans="1:12" ht="15" thickBot="1" x14ac:dyDescent="0.35">
      <c r="A41" s="4" t="s">
        <v>3864</v>
      </c>
      <c r="B41" s="5" t="s">
        <v>3862</v>
      </c>
      <c r="C41" s="5" t="s">
        <v>7307</v>
      </c>
      <c r="L41"/>
    </row>
    <row r="42" spans="1:12" ht="28.2" thickBot="1" x14ac:dyDescent="0.35">
      <c r="A42" s="4" t="s">
        <v>1054</v>
      </c>
      <c r="B42" s="5" t="s">
        <v>1052</v>
      </c>
      <c r="C42" s="5" t="s">
        <v>7307</v>
      </c>
      <c r="L42"/>
    </row>
    <row r="43" spans="1:12" ht="28.2" thickBot="1" x14ac:dyDescent="0.35">
      <c r="A43" s="4" t="s">
        <v>7287</v>
      </c>
      <c r="B43" s="5" t="s">
        <v>7288</v>
      </c>
      <c r="C43" s="5" t="s">
        <v>7307</v>
      </c>
      <c r="L43"/>
    </row>
    <row r="44" spans="1:12" ht="28.2" thickBot="1" x14ac:dyDescent="0.35">
      <c r="A44" s="4" t="s">
        <v>728</v>
      </c>
      <c r="B44" s="5" t="s">
        <v>727</v>
      </c>
      <c r="C44" s="5" t="s">
        <v>7307</v>
      </c>
      <c r="L44"/>
    </row>
    <row r="45" spans="1:12" ht="28.2" thickBot="1" x14ac:dyDescent="0.35">
      <c r="A45" s="4" t="s">
        <v>1710</v>
      </c>
      <c r="B45" s="5" t="s">
        <v>1181</v>
      </c>
      <c r="C45" s="5" t="s">
        <v>7297</v>
      </c>
      <c r="L45"/>
    </row>
    <row r="46" spans="1:12" ht="15" thickBot="1" x14ac:dyDescent="0.35">
      <c r="A46" s="4" t="s">
        <v>4557</v>
      </c>
      <c r="B46" s="5" t="s">
        <v>4556</v>
      </c>
      <c r="C46" s="5" t="s">
        <v>7301</v>
      </c>
      <c r="L46"/>
    </row>
    <row r="47" spans="1:12" ht="15" thickBot="1" x14ac:dyDescent="0.35">
      <c r="A47" s="4" t="s">
        <v>7290</v>
      </c>
      <c r="B47" s="5" t="s">
        <v>1015</v>
      </c>
      <c r="C47" s="5" t="s">
        <v>7307</v>
      </c>
      <c r="L47"/>
    </row>
    <row r="48" spans="1:12" ht="15" thickBot="1" x14ac:dyDescent="0.35">
      <c r="A48" s="4" t="s">
        <v>4631</v>
      </c>
      <c r="B48" s="5" t="s">
        <v>4629</v>
      </c>
      <c r="C48" s="5" t="s">
        <v>7300</v>
      </c>
      <c r="L48"/>
    </row>
    <row r="49" spans="1:12" ht="15" thickBot="1" x14ac:dyDescent="0.35">
      <c r="A49" s="4" t="s">
        <v>4700</v>
      </c>
      <c r="B49" s="5" t="s">
        <v>4699</v>
      </c>
      <c r="C49" s="5" t="s">
        <v>7307</v>
      </c>
      <c r="L49"/>
    </row>
    <row r="50" spans="1:12" ht="15" thickBot="1" x14ac:dyDescent="0.35">
      <c r="A50" s="4" t="s">
        <v>1638</v>
      </c>
      <c r="B50" s="5" t="s">
        <v>1637</v>
      </c>
      <c r="C50" s="5" t="s">
        <v>7300</v>
      </c>
      <c r="L50"/>
    </row>
    <row r="51" spans="1:12" ht="15" thickBot="1" x14ac:dyDescent="0.35">
      <c r="A51" s="4" t="s">
        <v>2989</v>
      </c>
      <c r="B51" s="5" t="s">
        <v>2988</v>
      </c>
      <c r="C51" s="5" t="s">
        <v>7307</v>
      </c>
      <c r="L51"/>
    </row>
    <row r="52" spans="1:12" ht="28.2" thickBot="1" x14ac:dyDescent="0.35">
      <c r="A52" s="4" t="s">
        <v>117</v>
      </c>
      <c r="B52" s="5" t="s">
        <v>115</v>
      </c>
      <c r="C52" s="5" t="s">
        <v>7298</v>
      </c>
      <c r="L52"/>
    </row>
    <row r="53" spans="1:12" ht="15" thickBot="1" x14ac:dyDescent="0.35">
      <c r="A53" s="4" t="s">
        <v>4903</v>
      </c>
      <c r="B53" s="5" t="s">
        <v>624</v>
      </c>
      <c r="C53" s="5" t="s">
        <v>7307</v>
      </c>
      <c r="L53"/>
    </row>
    <row r="54" spans="1:12" ht="15" thickBot="1" x14ac:dyDescent="0.35">
      <c r="A54" s="4" t="s">
        <v>23</v>
      </c>
      <c r="B54" s="5" t="s">
        <v>22</v>
      </c>
      <c r="C54" s="5" t="s">
        <v>7307</v>
      </c>
      <c r="L54"/>
    </row>
    <row r="55" spans="1:12" ht="15" thickBot="1" x14ac:dyDescent="0.35">
      <c r="A55" s="4" t="s">
        <v>210</v>
      </c>
      <c r="B55" s="5" t="s">
        <v>208</v>
      </c>
      <c r="C55" s="5" t="s">
        <v>7307</v>
      </c>
      <c r="L55"/>
    </row>
    <row r="56" spans="1:12" ht="28.2" thickBot="1" x14ac:dyDescent="0.35">
      <c r="A56" s="4" t="s">
        <v>7291</v>
      </c>
      <c r="B56" s="5" t="s">
        <v>7292</v>
      </c>
      <c r="C56" s="5" t="s">
        <v>7300</v>
      </c>
      <c r="L56"/>
    </row>
    <row r="57" spans="1:12" ht="15" thickBot="1" x14ac:dyDescent="0.35">
      <c r="A57" s="4" t="s">
        <v>3349</v>
      </c>
      <c r="B57" s="5" t="s">
        <v>740</v>
      </c>
      <c r="C57" s="5" t="s">
        <v>7299</v>
      </c>
      <c r="L57"/>
    </row>
    <row r="58" spans="1:12" ht="15" thickBot="1" x14ac:dyDescent="0.35">
      <c r="A58" s="4" t="s">
        <v>32</v>
      </c>
      <c r="B58" s="5" t="s">
        <v>95</v>
      </c>
      <c r="C58" s="5" t="s">
        <v>7307</v>
      </c>
      <c r="L58"/>
    </row>
    <row r="59" spans="1:12" ht="15" thickBot="1" x14ac:dyDescent="0.35">
      <c r="A59" s="4" t="s">
        <v>3482</v>
      </c>
      <c r="B59" s="5" t="s">
        <v>3479</v>
      </c>
      <c r="C59" s="5" t="s">
        <v>7307</v>
      </c>
      <c r="L59"/>
    </row>
    <row r="60" spans="1:12" ht="15" thickBot="1" x14ac:dyDescent="0.35">
      <c r="A60" s="4" t="s">
        <v>4537</v>
      </c>
      <c r="B60" s="5" t="s">
        <v>4536</v>
      </c>
      <c r="C60" s="5" t="s">
        <v>7299</v>
      </c>
      <c r="L60"/>
    </row>
    <row r="61" spans="1:12" ht="15" thickBot="1" x14ac:dyDescent="0.35">
      <c r="A61" s="4" t="s">
        <v>254</v>
      </c>
      <c r="B61" s="5" t="s">
        <v>1043</v>
      </c>
      <c r="C61" s="5" t="s">
        <v>7307</v>
      </c>
      <c r="L61"/>
    </row>
    <row r="62" spans="1:12" ht="15" thickBot="1" x14ac:dyDescent="0.35">
      <c r="A62" s="4" t="s">
        <v>3116</v>
      </c>
      <c r="B62" s="5" t="s">
        <v>1043</v>
      </c>
      <c r="C62" s="5" t="s">
        <v>7307</v>
      </c>
      <c r="L62"/>
    </row>
    <row r="63" spans="1:12" ht="15" thickBot="1" x14ac:dyDescent="0.35">
      <c r="A63" s="4" t="s">
        <v>668</v>
      </c>
      <c r="B63" s="5" t="s">
        <v>667</v>
      </c>
      <c r="C63" s="5" t="s">
        <v>7307</v>
      </c>
      <c r="L63"/>
    </row>
    <row r="64" spans="1:12" ht="15" thickBot="1" x14ac:dyDescent="0.35">
      <c r="A64" s="4" t="s">
        <v>111</v>
      </c>
      <c r="B64" s="5" t="s">
        <v>110</v>
      </c>
      <c r="C64" s="5" t="s">
        <v>7307</v>
      </c>
      <c r="L64"/>
    </row>
    <row r="65" spans="1:12" ht="15" thickBot="1" x14ac:dyDescent="0.35">
      <c r="A65" s="4" t="s">
        <v>3044</v>
      </c>
      <c r="B65" s="5" t="s">
        <v>3043</v>
      </c>
      <c r="C65" s="5" t="s">
        <v>7307</v>
      </c>
      <c r="L65"/>
    </row>
    <row r="66" spans="1:12" ht="15" thickBot="1" x14ac:dyDescent="0.35">
      <c r="A66" s="4" t="s">
        <v>961</v>
      </c>
      <c r="B66" s="5" t="s">
        <v>960</v>
      </c>
      <c r="C66" s="5" t="s">
        <v>7307</v>
      </c>
      <c r="L66"/>
    </row>
    <row r="67" spans="1:12" ht="15" thickBot="1" x14ac:dyDescent="0.35">
      <c r="A67" s="4" t="s">
        <v>666</v>
      </c>
      <c r="B67" s="5" t="s">
        <v>665</v>
      </c>
      <c r="C67" s="5" t="s">
        <v>7307</v>
      </c>
      <c r="L67"/>
    </row>
    <row r="68" spans="1:12" ht="15" thickBot="1" x14ac:dyDescent="0.35">
      <c r="A68" s="4" t="s">
        <v>2159</v>
      </c>
      <c r="B68" s="5" t="s">
        <v>2158</v>
      </c>
      <c r="C68" s="5" t="s">
        <v>7297</v>
      </c>
      <c r="L68"/>
    </row>
    <row r="69" spans="1:12" ht="15" thickBot="1" x14ac:dyDescent="0.35">
      <c r="A69" s="4" t="s">
        <v>3388</v>
      </c>
      <c r="B69" s="5" t="s">
        <v>1631</v>
      </c>
      <c r="C69" s="5" t="s">
        <v>7307</v>
      </c>
      <c r="L69"/>
    </row>
    <row r="70" spans="1:12" ht="15" thickBot="1" x14ac:dyDescent="0.35">
      <c r="A70" s="4" t="s">
        <v>6177</v>
      </c>
      <c r="B70" s="5" t="s">
        <v>6089</v>
      </c>
      <c r="C70" s="5" t="s">
        <v>7300</v>
      </c>
      <c r="L70"/>
    </row>
    <row r="71" spans="1:12" ht="15" thickBot="1" x14ac:dyDescent="0.35">
      <c r="A71" s="4" t="s">
        <v>433</v>
      </c>
      <c r="B71" s="5" t="s">
        <v>418</v>
      </c>
      <c r="C71" s="5" t="s">
        <v>7302</v>
      </c>
      <c r="L71"/>
    </row>
    <row r="72" spans="1:12" ht="15" thickBot="1" x14ac:dyDescent="0.35">
      <c r="A72" s="4" t="s">
        <v>6219</v>
      </c>
      <c r="B72" s="5" t="s">
        <v>6217</v>
      </c>
      <c r="C72" s="5" t="s">
        <v>7299</v>
      </c>
      <c r="L72"/>
    </row>
    <row r="73" spans="1:12" ht="28.2" thickBot="1" x14ac:dyDescent="0.35">
      <c r="A73" s="4" t="s">
        <v>473</v>
      </c>
      <c r="B73" s="5" t="s">
        <v>472</v>
      </c>
      <c r="C73" s="5" t="s">
        <v>7300</v>
      </c>
      <c r="L73"/>
    </row>
    <row r="74" spans="1:12" ht="15" thickBot="1" x14ac:dyDescent="0.35">
      <c r="A74" s="4" t="s">
        <v>1407</v>
      </c>
      <c r="B74" s="5" t="s">
        <v>322</v>
      </c>
      <c r="C74" s="5" t="s">
        <v>7304</v>
      </c>
      <c r="L74"/>
    </row>
    <row r="75" spans="1:12" ht="42" thickBot="1" x14ac:dyDescent="0.35">
      <c r="A75" s="4" t="s">
        <v>6918</v>
      </c>
      <c r="B75" s="5" t="s">
        <v>7293</v>
      </c>
      <c r="C75" s="5" t="s">
        <v>7300</v>
      </c>
      <c r="L75"/>
    </row>
    <row r="76" spans="1:12" ht="15" thickBot="1" x14ac:dyDescent="0.35">
      <c r="A76" s="4" t="s">
        <v>2536</v>
      </c>
      <c r="B76" s="5" t="s">
        <v>2535</v>
      </c>
      <c r="C76" s="5" t="s">
        <v>7307</v>
      </c>
      <c r="L76"/>
    </row>
    <row r="77" spans="1:12" ht="15" thickBot="1" x14ac:dyDescent="0.35">
      <c r="A77" s="4" t="s">
        <v>126</v>
      </c>
      <c r="B77" s="5" t="s">
        <v>125</v>
      </c>
      <c r="C77" s="5" t="s">
        <v>7300</v>
      </c>
      <c r="L77"/>
    </row>
    <row r="78" spans="1:12" ht="28.2" thickBot="1" x14ac:dyDescent="0.35">
      <c r="A78" s="4" t="s">
        <v>5706</v>
      </c>
      <c r="B78" s="5" t="s">
        <v>2981</v>
      </c>
      <c r="C78" s="5" t="s">
        <v>7307</v>
      </c>
      <c r="L78"/>
    </row>
    <row r="79" spans="1:12" ht="15" thickBot="1" x14ac:dyDescent="0.35">
      <c r="A79" s="4" t="s">
        <v>1624</v>
      </c>
      <c r="B79" s="5" t="s">
        <v>1623</v>
      </c>
      <c r="C79" s="5" t="s">
        <v>7303</v>
      </c>
      <c r="L79"/>
    </row>
    <row r="80" spans="1:12" ht="15" thickBot="1" x14ac:dyDescent="0.35">
      <c r="A80" s="4" t="s">
        <v>2938</v>
      </c>
      <c r="B80" s="5" t="s">
        <v>2937</v>
      </c>
      <c r="C80" s="5" t="s">
        <v>7307</v>
      </c>
      <c r="L80"/>
    </row>
    <row r="81" spans="1:12" ht="15" thickBot="1" x14ac:dyDescent="0.35">
      <c r="A81" s="4" t="s">
        <v>2167</v>
      </c>
      <c r="B81" s="5" t="s">
        <v>2166</v>
      </c>
      <c r="C81" s="5" t="s">
        <v>7305</v>
      </c>
      <c r="L81"/>
    </row>
    <row r="82" spans="1:12" ht="28.2" thickBot="1" x14ac:dyDescent="0.35">
      <c r="A82" s="4" t="s">
        <v>339</v>
      </c>
      <c r="B82" s="5" t="s">
        <v>338</v>
      </c>
      <c r="C82" s="5" t="s">
        <v>7303</v>
      </c>
      <c r="L82"/>
    </row>
    <row r="83" spans="1:12" x14ac:dyDescent="0.3">
      <c r="A83" s="7" t="s">
        <v>3365</v>
      </c>
      <c r="B83" s="8" t="s">
        <v>1761</v>
      </c>
      <c r="C83" s="8" t="s">
        <v>7307</v>
      </c>
      <c r="L83"/>
    </row>
    <row r="84" spans="1:12" x14ac:dyDescent="0.3">
      <c r="A84" s="9" t="s">
        <v>16</v>
      </c>
      <c r="B84" s="10" t="s">
        <v>15</v>
      </c>
      <c r="C84" s="12" t="s">
        <v>7307</v>
      </c>
      <c r="L84"/>
    </row>
    <row r="85" spans="1:12" x14ac:dyDescent="0.3">
      <c r="A85" s="9" t="s">
        <v>32</v>
      </c>
      <c r="B85" s="10" t="s">
        <v>31</v>
      </c>
      <c r="C85" s="12" t="s">
        <v>7307</v>
      </c>
      <c r="L85"/>
    </row>
    <row r="86" spans="1:12" x14ac:dyDescent="0.3">
      <c r="A86" s="9" t="s">
        <v>254</v>
      </c>
      <c r="B86" s="10" t="s">
        <v>253</v>
      </c>
      <c r="C86" s="11" t="s">
        <v>7307</v>
      </c>
      <c r="L86"/>
    </row>
    <row r="87" spans="1:12" x14ac:dyDescent="0.3">
      <c r="A87" s="9" t="s">
        <v>1492</v>
      </c>
      <c r="B87" s="10" t="s">
        <v>1476</v>
      </c>
      <c r="C87" s="11" t="s">
        <v>7307</v>
      </c>
      <c r="L87"/>
    </row>
    <row r="88" spans="1:12" x14ac:dyDescent="0.3">
      <c r="A88" s="9" t="s">
        <v>3319</v>
      </c>
      <c r="B88" s="10" t="s">
        <v>1476</v>
      </c>
      <c r="C88" s="11" t="s">
        <v>7307</v>
      </c>
      <c r="L88"/>
    </row>
    <row r="89" spans="1:12" x14ac:dyDescent="0.3">
      <c r="A89" s="10" t="s">
        <v>172</v>
      </c>
      <c r="B89" s="10" t="s">
        <v>171</v>
      </c>
      <c r="C89" s="11" t="s">
        <v>7307</v>
      </c>
      <c r="L89"/>
    </row>
    <row r="90" spans="1:12" x14ac:dyDescent="0.3">
      <c r="A90" s="10" t="s">
        <v>3453</v>
      </c>
      <c r="B90" s="10" t="s">
        <v>171</v>
      </c>
      <c r="C90" s="11" t="s">
        <v>7307</v>
      </c>
      <c r="L90"/>
    </row>
    <row r="91" spans="1:12" x14ac:dyDescent="0.3">
      <c r="A91" s="10" t="s">
        <v>1485</v>
      </c>
      <c r="B91" s="10" t="s">
        <v>1484</v>
      </c>
      <c r="C91" s="11" t="s">
        <v>7307</v>
      </c>
      <c r="L91"/>
    </row>
    <row r="92" spans="1:12" x14ac:dyDescent="0.3">
      <c r="A92" s="10" t="s">
        <v>3261</v>
      </c>
      <c r="B92" s="10" t="s">
        <v>1484</v>
      </c>
      <c r="C92" s="11" t="s">
        <v>7307</v>
      </c>
      <c r="L92"/>
    </row>
    <row r="93" spans="1:12" x14ac:dyDescent="0.3">
      <c r="A93" s="10" t="s">
        <v>532</v>
      </c>
      <c r="B93" s="10" t="s">
        <v>531</v>
      </c>
      <c r="C93" s="11" t="s">
        <v>7307</v>
      </c>
      <c r="L93"/>
    </row>
    <row r="94" spans="1:12" x14ac:dyDescent="0.3">
      <c r="A94" s="10" t="s">
        <v>6932</v>
      </c>
      <c r="B94" s="10" t="s">
        <v>6924</v>
      </c>
      <c r="C94" s="11" t="s">
        <v>7307</v>
      </c>
      <c r="L94"/>
    </row>
  </sheetData>
  <conditionalFormatting sqref="A1:B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0057D-759E-49CC-AC96-4572D399EF4E}">
  <dimension ref="A1:C83"/>
  <sheetViews>
    <sheetView workbookViewId="0">
      <selection activeCell="C79" sqref="C79"/>
    </sheetView>
  </sheetViews>
  <sheetFormatPr defaultRowHeight="14.4" x14ac:dyDescent="0.3"/>
  <cols>
    <col min="1" max="3" width="30.109375" customWidth="1"/>
  </cols>
  <sheetData>
    <row r="1" spans="1:3" x14ac:dyDescent="0.3">
      <c r="A1" t="s">
        <v>6911</v>
      </c>
      <c r="B1" t="s">
        <v>6910</v>
      </c>
      <c r="C1" t="s">
        <v>7275</v>
      </c>
    </row>
    <row r="2" spans="1:3" x14ac:dyDescent="0.3">
      <c r="A2" t="s">
        <v>7276</v>
      </c>
      <c r="B2" t="s">
        <v>7277</v>
      </c>
      <c r="C2" t="s">
        <v>7278</v>
      </c>
    </row>
    <row r="3" spans="1:3" x14ac:dyDescent="0.3">
      <c r="A3" t="s">
        <v>2524</v>
      </c>
      <c r="B3" t="s">
        <v>2523</v>
      </c>
      <c r="C3" t="s">
        <v>7279</v>
      </c>
    </row>
    <row r="4" spans="1:3" x14ac:dyDescent="0.3">
      <c r="A4" t="s">
        <v>379</v>
      </c>
      <c r="B4" t="s">
        <v>378</v>
      </c>
      <c r="C4" t="s">
        <v>7280</v>
      </c>
    </row>
    <row r="5" spans="1:3" x14ac:dyDescent="0.3">
      <c r="A5" t="s">
        <v>266</v>
      </c>
      <c r="B5" t="s">
        <v>264</v>
      </c>
      <c r="C5" t="s">
        <v>7275</v>
      </c>
    </row>
    <row r="6" spans="1:3" x14ac:dyDescent="0.3">
      <c r="A6" t="s">
        <v>506</v>
      </c>
      <c r="B6" t="s">
        <v>497</v>
      </c>
      <c r="C6" t="s">
        <v>7279</v>
      </c>
    </row>
    <row r="7" spans="1:3" x14ac:dyDescent="0.3">
      <c r="A7" t="s">
        <v>2022</v>
      </c>
      <c r="B7" t="s">
        <v>2020</v>
      </c>
      <c r="C7" t="s">
        <v>7281</v>
      </c>
    </row>
    <row r="8" spans="1:3" x14ac:dyDescent="0.3">
      <c r="A8" t="s">
        <v>309</v>
      </c>
      <c r="B8" t="s">
        <v>308</v>
      </c>
      <c r="C8" t="s">
        <v>7282</v>
      </c>
    </row>
    <row r="9" spans="1:3" x14ac:dyDescent="0.3">
      <c r="A9" t="s">
        <v>587</v>
      </c>
      <c r="B9" t="s">
        <v>578</v>
      </c>
      <c r="C9" t="s">
        <v>7279</v>
      </c>
    </row>
    <row r="10" spans="1:3" x14ac:dyDescent="0.3">
      <c r="A10" t="s">
        <v>4458</v>
      </c>
      <c r="B10" t="s">
        <v>4457</v>
      </c>
      <c r="C10" t="s">
        <v>7279</v>
      </c>
    </row>
    <row r="11" spans="1:3" x14ac:dyDescent="0.3">
      <c r="A11" t="s">
        <v>122</v>
      </c>
      <c r="B11" t="s">
        <v>121</v>
      </c>
      <c r="C11" t="s">
        <v>7281</v>
      </c>
    </row>
    <row r="12" spans="1:3" x14ac:dyDescent="0.3">
      <c r="A12" t="s">
        <v>647</v>
      </c>
      <c r="B12" t="s">
        <v>646</v>
      </c>
      <c r="C12" t="s">
        <v>7279</v>
      </c>
    </row>
    <row r="13" spans="1:3" x14ac:dyDescent="0.3">
      <c r="A13" t="s">
        <v>660</v>
      </c>
      <c r="B13" t="s">
        <v>637</v>
      </c>
      <c r="C13" t="s">
        <v>7279</v>
      </c>
    </row>
    <row r="14" spans="1:3" x14ac:dyDescent="0.3">
      <c r="A14" t="s">
        <v>674</v>
      </c>
      <c r="B14" t="s">
        <v>673</v>
      </c>
      <c r="C14" t="s">
        <v>7280</v>
      </c>
    </row>
    <row r="15" spans="1:3" x14ac:dyDescent="0.3">
      <c r="A15" t="s">
        <v>750</v>
      </c>
      <c r="B15" t="s">
        <v>744</v>
      </c>
      <c r="C15" t="s">
        <v>7279</v>
      </c>
    </row>
    <row r="16" spans="1:3" x14ac:dyDescent="0.3">
      <c r="A16" t="s">
        <v>766</v>
      </c>
      <c r="B16" t="s">
        <v>765</v>
      </c>
      <c r="C16" t="s">
        <v>7279</v>
      </c>
    </row>
    <row r="17" spans="1:3" x14ac:dyDescent="0.3">
      <c r="A17" t="s">
        <v>1170</v>
      </c>
      <c r="B17" t="s">
        <v>1168</v>
      </c>
      <c r="C17" t="s">
        <v>7275</v>
      </c>
    </row>
    <row r="18" spans="1:3" x14ac:dyDescent="0.3">
      <c r="A18" t="s">
        <v>1326</v>
      </c>
      <c r="B18" t="s">
        <v>1325</v>
      </c>
      <c r="C18" t="s">
        <v>7279</v>
      </c>
    </row>
    <row r="19" spans="1:3" x14ac:dyDescent="0.3">
      <c r="A19" t="s">
        <v>49</v>
      </c>
      <c r="B19" t="s">
        <v>48</v>
      </c>
      <c r="C19" t="s">
        <v>7283</v>
      </c>
    </row>
    <row r="20" spans="1:3" x14ac:dyDescent="0.3">
      <c r="A20" t="s">
        <v>634</v>
      </c>
      <c r="B20" t="s">
        <v>632</v>
      </c>
      <c r="C20" t="s">
        <v>7279</v>
      </c>
    </row>
    <row r="21" spans="1:3" x14ac:dyDescent="0.3">
      <c r="A21" t="s">
        <v>1685</v>
      </c>
      <c r="B21" t="s">
        <v>1160</v>
      </c>
      <c r="C21" t="s">
        <v>7280</v>
      </c>
    </row>
    <row r="22" spans="1:3" x14ac:dyDescent="0.3">
      <c r="A22" t="s">
        <v>3312</v>
      </c>
      <c r="B22" t="s">
        <v>3310</v>
      </c>
      <c r="C22" t="s">
        <v>7279</v>
      </c>
    </row>
    <row r="23" spans="1:3" x14ac:dyDescent="0.3">
      <c r="A23" t="s">
        <v>411</v>
      </c>
      <c r="B23" t="s">
        <v>330</v>
      </c>
      <c r="C23" t="s">
        <v>7284</v>
      </c>
    </row>
    <row r="24" spans="1:3" x14ac:dyDescent="0.3">
      <c r="A24" t="s">
        <v>224</v>
      </c>
      <c r="B24" s="6" t="s">
        <v>7294</v>
      </c>
      <c r="C24" t="s">
        <v>7279</v>
      </c>
    </row>
    <row r="25" spans="1:3" x14ac:dyDescent="0.3">
      <c r="A25" t="s">
        <v>459</v>
      </c>
      <c r="B25" t="s">
        <v>458</v>
      </c>
      <c r="C25" t="s">
        <v>7285</v>
      </c>
    </row>
    <row r="26" spans="1:3" x14ac:dyDescent="0.3">
      <c r="A26" t="s">
        <v>2528</v>
      </c>
      <c r="B26" t="s">
        <v>2527</v>
      </c>
      <c r="C26" t="s">
        <v>7279</v>
      </c>
    </row>
    <row r="27" spans="1:3" x14ac:dyDescent="0.3">
      <c r="A27" t="s">
        <v>2998</v>
      </c>
      <c r="B27" t="s">
        <v>2996</v>
      </c>
      <c r="C27" t="s">
        <v>7275</v>
      </c>
    </row>
    <row r="28" spans="1:3" x14ac:dyDescent="0.3">
      <c r="A28" t="s">
        <v>1003</v>
      </c>
      <c r="B28" t="s">
        <v>1002</v>
      </c>
      <c r="C28" t="s">
        <v>7279</v>
      </c>
    </row>
    <row r="29" spans="1:3" x14ac:dyDescent="0.3">
      <c r="A29" t="s">
        <v>670</v>
      </c>
      <c r="B29" t="s">
        <v>669</v>
      </c>
      <c r="C29" t="s">
        <v>7279</v>
      </c>
    </row>
    <row r="30" spans="1:3" x14ac:dyDescent="0.3">
      <c r="A30" t="s">
        <v>200</v>
      </c>
      <c r="B30" t="s">
        <v>199</v>
      </c>
      <c r="C30" t="s">
        <v>7279</v>
      </c>
    </row>
    <row r="31" spans="1:3" x14ac:dyDescent="0.3">
      <c r="A31" t="s">
        <v>3096</v>
      </c>
      <c r="B31" t="s">
        <v>37</v>
      </c>
      <c r="C31" t="s">
        <v>7275</v>
      </c>
    </row>
    <row r="32" spans="1:3" x14ac:dyDescent="0.3">
      <c r="A32" t="s">
        <v>3184</v>
      </c>
      <c r="B32" t="s">
        <v>3183</v>
      </c>
      <c r="C32" t="s">
        <v>7283</v>
      </c>
    </row>
    <row r="33" spans="1:3" x14ac:dyDescent="0.3">
      <c r="A33" t="s">
        <v>3192</v>
      </c>
      <c r="B33" t="s">
        <v>3191</v>
      </c>
      <c r="C33" t="s">
        <v>7279</v>
      </c>
    </row>
    <row r="34" spans="1:3" x14ac:dyDescent="0.3">
      <c r="A34" t="s">
        <v>6143</v>
      </c>
      <c r="B34" t="s">
        <v>6142</v>
      </c>
      <c r="C34" t="s">
        <v>7275</v>
      </c>
    </row>
    <row r="35" spans="1:3" x14ac:dyDescent="0.3">
      <c r="A35" t="s">
        <v>3241</v>
      </c>
      <c r="B35" t="s">
        <v>1609</v>
      </c>
      <c r="C35" t="s">
        <v>7279</v>
      </c>
    </row>
    <row r="36" spans="1:3" x14ac:dyDescent="0.3">
      <c r="A36" t="s">
        <v>1780</v>
      </c>
      <c r="B36" t="s">
        <v>1778</v>
      </c>
      <c r="C36" t="s">
        <v>7286</v>
      </c>
    </row>
    <row r="37" spans="1:3" x14ac:dyDescent="0.3">
      <c r="A37" t="s">
        <v>1698</v>
      </c>
      <c r="B37" t="s">
        <v>1697</v>
      </c>
      <c r="C37" t="s">
        <v>7279</v>
      </c>
    </row>
    <row r="38" spans="1:3" x14ac:dyDescent="0.3">
      <c r="A38" t="s">
        <v>163</v>
      </c>
      <c r="B38" s="6" t="s">
        <v>7295</v>
      </c>
      <c r="C38" t="s">
        <v>7279</v>
      </c>
    </row>
    <row r="39" spans="1:3" x14ac:dyDescent="0.3">
      <c r="A39" t="s">
        <v>1360</v>
      </c>
      <c r="B39" t="s">
        <v>1352</v>
      </c>
      <c r="C39" t="s">
        <v>7279</v>
      </c>
    </row>
    <row r="40" spans="1:3" x14ac:dyDescent="0.3">
      <c r="A40" t="s">
        <v>16</v>
      </c>
      <c r="B40" t="s">
        <v>43</v>
      </c>
      <c r="C40" t="s">
        <v>7279</v>
      </c>
    </row>
    <row r="41" spans="1:3" x14ac:dyDescent="0.3">
      <c r="A41" t="s">
        <v>3864</v>
      </c>
      <c r="B41" t="s">
        <v>3862</v>
      </c>
      <c r="C41" t="s">
        <v>7279</v>
      </c>
    </row>
    <row r="42" spans="1:3" x14ac:dyDescent="0.3">
      <c r="A42" t="s">
        <v>1054</v>
      </c>
      <c r="B42" t="s">
        <v>1052</v>
      </c>
      <c r="C42" t="s">
        <v>7279</v>
      </c>
    </row>
    <row r="43" spans="1:3" x14ac:dyDescent="0.3">
      <c r="A43" t="s">
        <v>7287</v>
      </c>
      <c r="B43" t="s">
        <v>7288</v>
      </c>
      <c r="C43" t="s">
        <v>7279</v>
      </c>
    </row>
    <row r="44" spans="1:3" x14ac:dyDescent="0.3">
      <c r="A44" t="s">
        <v>728</v>
      </c>
      <c r="B44" t="s">
        <v>727</v>
      </c>
      <c r="C44" t="s">
        <v>7279</v>
      </c>
    </row>
    <row r="45" spans="1:3" x14ac:dyDescent="0.3">
      <c r="A45" t="s">
        <v>1710</v>
      </c>
      <c r="B45" t="s">
        <v>1181</v>
      </c>
      <c r="C45" t="s">
        <v>7275</v>
      </c>
    </row>
    <row r="46" spans="1:3" x14ac:dyDescent="0.3">
      <c r="A46" t="s">
        <v>4557</v>
      </c>
      <c r="B46" t="s">
        <v>4556</v>
      </c>
      <c r="C46" t="s">
        <v>7289</v>
      </c>
    </row>
    <row r="47" spans="1:3" x14ac:dyDescent="0.3">
      <c r="A47" t="s">
        <v>7290</v>
      </c>
      <c r="B47" t="s">
        <v>1015</v>
      </c>
      <c r="C47" t="s">
        <v>7279</v>
      </c>
    </row>
    <row r="48" spans="1:3" x14ac:dyDescent="0.3">
      <c r="A48" t="s">
        <v>4631</v>
      </c>
      <c r="B48" t="s">
        <v>4629</v>
      </c>
      <c r="C48" t="s">
        <v>7283</v>
      </c>
    </row>
    <row r="49" spans="1:3" x14ac:dyDescent="0.3">
      <c r="A49" t="s">
        <v>4700</v>
      </c>
      <c r="B49" t="s">
        <v>4699</v>
      </c>
      <c r="C49" t="s">
        <v>7279</v>
      </c>
    </row>
    <row r="50" spans="1:3" x14ac:dyDescent="0.3">
      <c r="A50" t="s">
        <v>1638</v>
      </c>
      <c r="B50" t="s">
        <v>1637</v>
      </c>
      <c r="C50" t="s">
        <v>7283</v>
      </c>
    </row>
    <row r="51" spans="1:3" x14ac:dyDescent="0.3">
      <c r="A51" t="s">
        <v>2989</v>
      </c>
      <c r="B51" t="s">
        <v>2988</v>
      </c>
      <c r="C51" t="s">
        <v>7279</v>
      </c>
    </row>
    <row r="52" spans="1:3" x14ac:dyDescent="0.3">
      <c r="A52" t="s">
        <v>117</v>
      </c>
      <c r="B52" t="s">
        <v>115</v>
      </c>
      <c r="C52" t="s">
        <v>7278</v>
      </c>
    </row>
    <row r="53" spans="1:3" x14ac:dyDescent="0.3">
      <c r="A53" t="s">
        <v>4903</v>
      </c>
      <c r="B53" t="s">
        <v>624</v>
      </c>
      <c r="C53" t="s">
        <v>7279</v>
      </c>
    </row>
    <row r="54" spans="1:3" x14ac:dyDescent="0.3">
      <c r="A54" t="s">
        <v>23</v>
      </c>
      <c r="B54" t="s">
        <v>22</v>
      </c>
      <c r="C54" t="s">
        <v>7279</v>
      </c>
    </row>
    <row r="55" spans="1:3" x14ac:dyDescent="0.3">
      <c r="A55" t="s">
        <v>210</v>
      </c>
      <c r="B55" t="s">
        <v>208</v>
      </c>
      <c r="C55" t="s">
        <v>7279</v>
      </c>
    </row>
    <row r="56" spans="1:3" x14ac:dyDescent="0.3">
      <c r="A56" t="s">
        <v>7291</v>
      </c>
      <c r="B56" t="s">
        <v>7292</v>
      </c>
      <c r="C56" t="s">
        <v>7283</v>
      </c>
    </row>
    <row r="57" spans="1:3" x14ac:dyDescent="0.3">
      <c r="A57" t="s">
        <v>3349</v>
      </c>
      <c r="B57" t="s">
        <v>740</v>
      </c>
      <c r="C57" t="s">
        <v>7280</v>
      </c>
    </row>
    <row r="58" spans="1:3" x14ac:dyDescent="0.3">
      <c r="A58" t="s">
        <v>32</v>
      </c>
      <c r="B58" t="s">
        <v>95</v>
      </c>
      <c r="C58" t="s">
        <v>7279</v>
      </c>
    </row>
    <row r="59" spans="1:3" x14ac:dyDescent="0.3">
      <c r="A59" t="s">
        <v>3482</v>
      </c>
      <c r="B59" t="s">
        <v>3479</v>
      </c>
      <c r="C59" t="s">
        <v>7279</v>
      </c>
    </row>
    <row r="60" spans="1:3" x14ac:dyDescent="0.3">
      <c r="A60" t="s">
        <v>4537</v>
      </c>
      <c r="B60" t="s">
        <v>4536</v>
      </c>
      <c r="C60" t="s">
        <v>7280</v>
      </c>
    </row>
    <row r="61" spans="1:3" x14ac:dyDescent="0.3">
      <c r="A61" t="s">
        <v>254</v>
      </c>
      <c r="B61" t="s">
        <v>1043</v>
      </c>
      <c r="C61" t="s">
        <v>7279</v>
      </c>
    </row>
    <row r="62" spans="1:3" x14ac:dyDescent="0.3">
      <c r="A62" t="s">
        <v>3116</v>
      </c>
      <c r="B62" t="s">
        <v>1043</v>
      </c>
      <c r="C62" t="s">
        <v>7279</v>
      </c>
    </row>
    <row r="63" spans="1:3" x14ac:dyDescent="0.3">
      <c r="A63" t="s">
        <v>668</v>
      </c>
      <c r="B63" t="s">
        <v>667</v>
      </c>
      <c r="C63" t="s">
        <v>7279</v>
      </c>
    </row>
    <row r="64" spans="1:3" x14ac:dyDescent="0.3">
      <c r="A64" t="s">
        <v>111</v>
      </c>
      <c r="B64" t="s">
        <v>110</v>
      </c>
      <c r="C64" t="s">
        <v>7279</v>
      </c>
    </row>
    <row r="65" spans="1:3" x14ac:dyDescent="0.3">
      <c r="A65" t="s">
        <v>3044</v>
      </c>
      <c r="B65" t="s">
        <v>3043</v>
      </c>
      <c r="C65" t="s">
        <v>7279</v>
      </c>
    </row>
    <row r="66" spans="1:3" x14ac:dyDescent="0.3">
      <c r="A66" t="s">
        <v>961</v>
      </c>
      <c r="B66" t="s">
        <v>960</v>
      </c>
      <c r="C66" t="s">
        <v>7279</v>
      </c>
    </row>
    <row r="67" spans="1:3" x14ac:dyDescent="0.3">
      <c r="A67" t="s">
        <v>666</v>
      </c>
      <c r="B67" t="s">
        <v>665</v>
      </c>
      <c r="C67" t="s">
        <v>7279</v>
      </c>
    </row>
    <row r="68" spans="1:3" x14ac:dyDescent="0.3">
      <c r="A68" t="s">
        <v>2159</v>
      </c>
      <c r="B68" t="s">
        <v>2158</v>
      </c>
      <c r="C68" t="s">
        <v>7275</v>
      </c>
    </row>
    <row r="69" spans="1:3" x14ac:dyDescent="0.3">
      <c r="A69" t="s">
        <v>3388</v>
      </c>
      <c r="B69" t="s">
        <v>1631</v>
      </c>
      <c r="C69" t="s">
        <v>7279</v>
      </c>
    </row>
    <row r="70" spans="1:3" x14ac:dyDescent="0.3">
      <c r="A70" t="s">
        <v>6177</v>
      </c>
      <c r="B70" t="s">
        <v>6089</v>
      </c>
      <c r="C70" t="s">
        <v>7283</v>
      </c>
    </row>
    <row r="71" spans="1:3" x14ac:dyDescent="0.3">
      <c r="A71" t="s">
        <v>433</v>
      </c>
      <c r="B71" t="s">
        <v>418</v>
      </c>
      <c r="C71" t="s">
        <v>7284</v>
      </c>
    </row>
    <row r="72" spans="1:3" x14ac:dyDescent="0.3">
      <c r="A72" t="s">
        <v>6219</v>
      </c>
      <c r="B72" t="s">
        <v>6217</v>
      </c>
      <c r="C72" t="s">
        <v>7280</v>
      </c>
    </row>
    <row r="73" spans="1:3" x14ac:dyDescent="0.3">
      <c r="A73" t="s">
        <v>473</v>
      </c>
      <c r="B73" t="s">
        <v>472</v>
      </c>
      <c r="C73" t="s">
        <v>7283</v>
      </c>
    </row>
    <row r="74" spans="1:3" x14ac:dyDescent="0.3">
      <c r="A74" t="s">
        <v>1407</v>
      </c>
      <c r="B74" t="s">
        <v>322</v>
      </c>
      <c r="C74" t="s">
        <v>7281</v>
      </c>
    </row>
    <row r="75" spans="1:3" x14ac:dyDescent="0.3">
      <c r="A75" t="s">
        <v>6918</v>
      </c>
      <c r="B75" t="s">
        <v>7293</v>
      </c>
      <c r="C75" t="s">
        <v>7283</v>
      </c>
    </row>
    <row r="76" spans="1:3" x14ac:dyDescent="0.3">
      <c r="A76" t="s">
        <v>2536</v>
      </c>
      <c r="B76" s="6" t="s">
        <v>7296</v>
      </c>
      <c r="C76" t="s">
        <v>7279</v>
      </c>
    </row>
    <row r="77" spans="1:3" x14ac:dyDescent="0.3">
      <c r="A77" t="s">
        <v>126</v>
      </c>
      <c r="B77" t="s">
        <v>125</v>
      </c>
      <c r="C77" t="s">
        <v>7283</v>
      </c>
    </row>
    <row r="78" spans="1:3" x14ac:dyDescent="0.3">
      <c r="A78" t="s">
        <v>5706</v>
      </c>
      <c r="B78" t="s">
        <v>2981</v>
      </c>
      <c r="C78" t="s">
        <v>7279</v>
      </c>
    </row>
    <row r="79" spans="1:3" x14ac:dyDescent="0.3">
      <c r="A79" t="s">
        <v>1624</v>
      </c>
      <c r="B79" t="s">
        <v>1623</v>
      </c>
      <c r="C79" t="s">
        <v>7282</v>
      </c>
    </row>
    <row r="80" spans="1:3" x14ac:dyDescent="0.3">
      <c r="A80" t="s">
        <v>2938</v>
      </c>
      <c r="B80" t="s">
        <v>2937</v>
      </c>
      <c r="C80" t="s">
        <v>7279</v>
      </c>
    </row>
    <row r="81" spans="1:3" x14ac:dyDescent="0.3">
      <c r="A81" t="s">
        <v>2167</v>
      </c>
      <c r="B81" t="s">
        <v>2166</v>
      </c>
      <c r="C81" t="s">
        <v>7286</v>
      </c>
    </row>
    <row r="82" spans="1:3" x14ac:dyDescent="0.3">
      <c r="A82" t="s">
        <v>339</v>
      </c>
      <c r="B82" t="s">
        <v>338</v>
      </c>
      <c r="C82" t="s">
        <v>7282</v>
      </c>
    </row>
    <row r="83" spans="1:3" x14ac:dyDescent="0.3">
      <c r="A83" t="s">
        <v>3365</v>
      </c>
      <c r="B83" t="s">
        <v>1761</v>
      </c>
      <c r="C83" t="s">
        <v>7279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Сводный отчет - 2026-05-20T1705</vt:lpstr>
      <vt:lpstr>справочник</vt:lpstr>
      <vt:lpstr>примеч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B</dc:creator>
  <cp:lastModifiedBy>Admin</cp:lastModifiedBy>
  <cp:lastPrinted>2026-05-22T07:33:13Z</cp:lastPrinted>
  <dcterms:created xsi:type="dcterms:W3CDTF">2026-05-20T14:15:37Z</dcterms:created>
  <dcterms:modified xsi:type="dcterms:W3CDTF">2026-05-22T07:33:44Z</dcterms:modified>
</cp:coreProperties>
</file>